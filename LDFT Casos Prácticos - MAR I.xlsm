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MPUFIRE\OneDrive\Desktop\Economía\UMG\9. Noveno Semestre\MODELOS DE ADMINISTRACIÓN DE RIESGOS I\"/>
    </mc:Choice>
  </mc:AlternateContent>
  <xr:revisionPtr revIDLastSave="0" documentId="13_ncr:1_{FE04842D-275C-4864-B4A8-1922400F6927}" xr6:coauthVersionLast="47" xr6:coauthVersionMax="47" xr10:uidLastSave="{00000000-0000-0000-0000-000000000000}"/>
  <bookViews>
    <workbookView xWindow="-120" yWindow="-120" windowWidth="20730" windowHeight="11160" firstSheet="4" activeTab="4" xr2:uid="{E6FEDABD-88D5-4592-97E9-C1B517D65179}"/>
  </bookViews>
  <sheets>
    <sheet name="Caso 1 (Marco Normativo)" sheetId="9" r:id="rId1"/>
    <sheet name="Caso 1 (Parámetros)" sheetId="10" r:id="rId2"/>
    <sheet name="Caso 1 (Umbrales y KYC)" sheetId="11" r:id="rId3"/>
    <sheet name="Caso 1 (Matriz de Clientes)" sheetId="12" r:id="rId4"/>
    <sheet name="Caso 1 (Resumen Ejecutivo)" sheetId="13" r:id="rId5"/>
    <sheet name="Caso 2 (Marco Normativo)" sheetId="14" r:id="rId6"/>
    <sheet name="Caso 2 (Parámetros)" sheetId="15" r:id="rId7"/>
    <sheet name="Caso 2 (Socios)" sheetId="16" r:id="rId8"/>
    <sheet name="Caso 2 (Transacciones)" sheetId="17" r:id="rId9"/>
    <sheet name="Caso 2 (ROS)" sheetId="18" r:id="rId10"/>
    <sheet name="Caso 2 (Resumen Ejecutivo)" sheetId="19" r:id="rId11"/>
    <sheet name="Caso 3 (Marco Normativo)" sheetId="21" r:id="rId12"/>
    <sheet name="Caso 3 (Datos Históricos)" sheetId="22" r:id="rId13"/>
    <sheet name="Caso 3 (Parámetros)" sheetId="23" r:id="rId14"/>
    <sheet name="Caso 3 (Transacciones)" sheetId="24" r:id="rId15"/>
    <sheet name="Caso 3 (Índice Exposición FT)" sheetId="25" r:id="rId16"/>
    <sheet name="Caso 3 (Medidas de Mitigación)" sheetId="26" r:id="rId17"/>
    <sheet name="Caso 3 (Resumen Ejecutivo)" sheetId="27" r:id="rId18"/>
    <sheet name="Dashboard" sheetId="29" r:id="rId19"/>
  </sheets>
  <definedNames>
    <definedName name="_xlnm._FilterDatabase" localSheetId="3" hidden="1">'Caso 1 (Matriz de Clientes)'!$A$1:$M$54</definedName>
    <definedName name="Antiguedad">'Caso 1 (Parámetros)'!$J$13:$K$15</definedName>
    <definedName name="CanalAcceso">'Caso 1 (Parámetros)'!$J$5:$K$7</definedName>
    <definedName name="NivelRiesgo">'Caso 1 (Matriz de Clientes)'!$L$4:$L$53</definedName>
    <definedName name="TipoCliente">'Caso 1 (Parámetros)'!$F$5:$G$8</definedName>
    <definedName name="ZonaGeo">'Caso 1 (Parámetros)'!$F$13:$G$15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61" i="29" l="1" a="1"/>
  <c r="U61" i="29" a="1"/>
  <c r="V60" i="29" a="1"/>
  <c r="U60" i="29" a="1"/>
  <c r="V59" i="29" a="1"/>
  <c r="U59" i="29" a="1"/>
  <c r="V58" i="29" a="1"/>
  <c r="U58" i="29" a="1"/>
  <c r="V57" i="29" a="1"/>
  <c r="U57" i="29" a="1"/>
  <c r="V56" i="29" a="1"/>
  <c r="U56" i="29" a="1"/>
  <c r="AA61" i="29"/>
  <c r="AA60" i="29"/>
  <c r="AA59" i="29"/>
  <c r="AA58" i="29"/>
  <c r="AA57" i="29"/>
  <c r="AA56" i="29"/>
  <c r="Q58" i="29"/>
  <c r="Q59" i="29"/>
  <c r="Q57" i="29"/>
  <c r="Q56" i="29"/>
  <c r="R59" i="29"/>
  <c r="R58" i="29"/>
  <c r="R57" i="29"/>
  <c r="R56" i="29"/>
  <c r="N60" i="29"/>
  <c r="N59" i="29"/>
  <c r="N58" i="29"/>
  <c r="N57" i="29"/>
  <c r="N56" i="29"/>
  <c r="I59" i="29"/>
  <c r="H59" i="29"/>
  <c r="I58" i="29"/>
  <c r="H58" i="29"/>
  <c r="G58" i="29"/>
  <c r="I57" i="29"/>
  <c r="H57" i="29"/>
  <c r="G57" i="29"/>
  <c r="G59" i="29"/>
  <c r="F57" i="29"/>
  <c r="F58" i="29"/>
  <c r="F59" i="29"/>
  <c r="I56" i="29"/>
  <c r="H56" i="29"/>
  <c r="G56" i="29"/>
  <c r="F56" i="29"/>
  <c r="C57" i="29"/>
  <c r="C58" i="29"/>
  <c r="C59" i="29"/>
  <c r="C56" i="29"/>
  <c r="K14" i="29"/>
  <c r="T14" i="29"/>
  <c r="T12" i="29"/>
  <c r="T9" i="29"/>
  <c r="T7" i="29"/>
  <c r="K9" i="29"/>
  <c r="K7" i="29"/>
  <c r="B12" i="29"/>
  <c r="B9" i="29"/>
  <c r="B7" i="29"/>
  <c r="C16" i="19"/>
  <c r="C17" i="19"/>
  <c r="C14" i="19"/>
  <c r="C13" i="19"/>
  <c r="C7" i="19"/>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52" i="17"/>
  <c r="L253" i="17"/>
  <c r="L254" i="17"/>
  <c r="L255" i="17"/>
  <c r="L256" i="17"/>
  <c r="L257" i="17"/>
  <c r="L258" i="17"/>
  <c r="L259" i="17"/>
  <c r="L260" i="17"/>
  <c r="L261" i="17"/>
  <c r="L262" i="17"/>
  <c r="L263" i="17"/>
  <c r="L264" i="17"/>
  <c r="L265" i="17"/>
  <c r="L266" i="17"/>
  <c r="L267" i="17"/>
  <c r="L268" i="17"/>
  <c r="L269" i="17"/>
  <c r="L270" i="17"/>
  <c r="L271" i="17"/>
  <c r="L272" i="17"/>
  <c r="L273" i="17"/>
  <c r="L274" i="17"/>
  <c r="L275" i="17"/>
  <c r="L276" i="17"/>
  <c r="L277" i="17"/>
  <c r="L278" i="17"/>
  <c r="L279" i="17"/>
  <c r="L280" i="17"/>
  <c r="L281" i="17"/>
  <c r="L282" i="17"/>
  <c r="L283" i="17"/>
  <c r="L284" i="17"/>
  <c r="L285" i="17"/>
  <c r="L286" i="17"/>
  <c r="L287" i="17"/>
  <c r="L288" i="17"/>
  <c r="L289" i="17"/>
  <c r="L290" i="17"/>
  <c r="L291" i="17"/>
  <c r="L292" i="17"/>
  <c r="L293" i="17"/>
  <c r="L294" i="17"/>
  <c r="L295" i="17"/>
  <c r="L296" i="17"/>
  <c r="L297" i="17"/>
  <c r="L298" i="17"/>
  <c r="L299" i="17"/>
  <c r="L300" i="17"/>
  <c r="L301" i="17"/>
  <c r="L302" i="17"/>
  <c r="L303" i="17"/>
  <c r="L4" i="17"/>
  <c r="A54" i="12"/>
  <c r="A304" i="17"/>
  <c r="B14" i="27"/>
  <c r="B12" i="27"/>
  <c r="B8" i="27"/>
  <c r="B7" i="27"/>
  <c r="B6" i="27"/>
  <c r="B5" i="27"/>
  <c r="A2" i="27"/>
  <c r="H7" i="25"/>
  <c r="B7" i="25"/>
  <c r="H6" i="25"/>
  <c r="B6" i="25"/>
  <c r="H5" i="25"/>
  <c r="B5" i="25"/>
  <c r="D4" i="25"/>
  <c r="B4" i="25"/>
  <c r="A122" i="24"/>
  <c r="K103" i="24"/>
  <c r="K102" i="24"/>
  <c r="K101" i="24"/>
  <c r="K100" i="24"/>
  <c r="K99" i="24"/>
  <c r="K98" i="24"/>
  <c r="K97" i="24"/>
  <c r="K96" i="24"/>
  <c r="J96" i="24"/>
  <c r="K95" i="24"/>
  <c r="K94" i="24"/>
  <c r="J94" i="24"/>
  <c r="K93" i="24"/>
  <c r="K92" i="24"/>
  <c r="K91" i="24"/>
  <c r="K90" i="24"/>
  <c r="J90" i="24"/>
  <c r="K89" i="24"/>
  <c r="K88" i="24"/>
  <c r="K87" i="24"/>
  <c r="K86" i="24"/>
  <c r="K85" i="24"/>
  <c r="J85" i="24"/>
  <c r="K84" i="24"/>
  <c r="K83" i="24"/>
  <c r="K82" i="24"/>
  <c r="K81" i="24"/>
  <c r="K80" i="24"/>
  <c r="J80" i="24"/>
  <c r="K79" i="24"/>
  <c r="K78" i="24"/>
  <c r="K77" i="24"/>
  <c r="K76" i="24"/>
  <c r="K75" i="24"/>
  <c r="J75" i="24"/>
  <c r="K74" i="24"/>
  <c r="K73" i="24"/>
  <c r="K72" i="24"/>
  <c r="K71" i="24"/>
  <c r="K70" i="24"/>
  <c r="J70" i="24"/>
  <c r="K69" i="24"/>
  <c r="K68" i="24"/>
  <c r="K67" i="24"/>
  <c r="K66" i="24"/>
  <c r="J66" i="24"/>
  <c r="K65" i="24"/>
  <c r="K64" i="24"/>
  <c r="K63" i="24"/>
  <c r="K62" i="24"/>
  <c r="K61" i="24"/>
  <c r="J61" i="24"/>
  <c r="K60" i="24"/>
  <c r="K59" i="24"/>
  <c r="K58" i="24"/>
  <c r="K57" i="24"/>
  <c r="K56" i="24"/>
  <c r="K55" i="24"/>
  <c r="K54" i="24"/>
  <c r="K53" i="24"/>
  <c r="K52" i="24"/>
  <c r="K51" i="24"/>
  <c r="K50" i="24"/>
  <c r="J50" i="24"/>
  <c r="K49" i="24"/>
  <c r="K48" i="24"/>
  <c r="K47" i="24"/>
  <c r="K46" i="24"/>
  <c r="K45" i="24"/>
  <c r="J45" i="24"/>
  <c r="K44" i="24"/>
  <c r="K43" i="24"/>
  <c r="K42" i="24"/>
  <c r="K41" i="24"/>
  <c r="K40" i="24"/>
  <c r="J40" i="24"/>
  <c r="K39" i="24"/>
  <c r="K38" i="24"/>
  <c r="K37" i="24"/>
  <c r="K36" i="24"/>
  <c r="K35" i="24"/>
  <c r="K34" i="24"/>
  <c r="K33" i="24"/>
  <c r="K32" i="24"/>
  <c r="K31" i="24"/>
  <c r="K30" i="24"/>
  <c r="J30" i="24"/>
  <c r="K29" i="24"/>
  <c r="K28" i="24"/>
  <c r="J28" i="24"/>
  <c r="K27" i="24"/>
  <c r="K26" i="24"/>
  <c r="J26" i="24"/>
  <c r="K25" i="24"/>
  <c r="K24" i="24"/>
  <c r="K23" i="24"/>
  <c r="K22" i="24"/>
  <c r="K21" i="24"/>
  <c r="K20" i="24"/>
  <c r="J20" i="24"/>
  <c r="K19" i="24"/>
  <c r="K18" i="24"/>
  <c r="K17" i="24"/>
  <c r="K16" i="24"/>
  <c r="K15" i="24"/>
  <c r="K14" i="24"/>
  <c r="K13" i="24"/>
  <c r="K12" i="24"/>
  <c r="K11" i="24"/>
  <c r="K10" i="24"/>
  <c r="J10" i="24"/>
  <c r="K9" i="24"/>
  <c r="K8" i="24"/>
  <c r="K7" i="24"/>
  <c r="K6" i="24"/>
  <c r="K5" i="24"/>
  <c r="K4" i="24"/>
  <c r="C17" i="23"/>
  <c r="E139" i="22"/>
  <c r="E138" i="22"/>
  <c r="E137" i="22"/>
  <c r="E136" i="22"/>
  <c r="E135" i="22"/>
  <c r="E134" i="22"/>
  <c r="E133" i="22"/>
  <c r="E132" i="22"/>
  <c r="E131" i="22"/>
  <c r="E130" i="22"/>
  <c r="E129" i="22"/>
  <c r="E128" i="22"/>
  <c r="E127" i="22"/>
  <c r="E126" i="22"/>
  <c r="E125" i="22"/>
  <c r="E124" i="22"/>
  <c r="E123" i="22"/>
  <c r="E122" i="22"/>
  <c r="E121" i="22"/>
  <c r="E120" i="22"/>
  <c r="E119" i="22"/>
  <c r="E118" i="22"/>
  <c r="E117" i="22"/>
  <c r="E116" i="22"/>
  <c r="E115" i="22"/>
  <c r="E114" i="22"/>
  <c r="E113" i="22"/>
  <c r="E112" i="22"/>
  <c r="E111" i="22"/>
  <c r="E110" i="22"/>
  <c r="E109" i="22"/>
  <c r="E108" i="22"/>
  <c r="E107" i="22"/>
  <c r="E106" i="22"/>
  <c r="E105" i="22"/>
  <c r="E104" i="22"/>
  <c r="E103" i="22"/>
  <c r="E102" i="22"/>
  <c r="E101" i="22"/>
  <c r="E100" i="22"/>
  <c r="E99" i="22"/>
  <c r="E98" i="22"/>
  <c r="E97" i="22"/>
  <c r="E96" i="22"/>
  <c r="E95" i="22"/>
  <c r="E94" i="22"/>
  <c r="E93" i="22"/>
  <c r="E92" i="22"/>
  <c r="E91" i="22"/>
  <c r="E90" i="22"/>
  <c r="E89" i="22"/>
  <c r="E88" i="22"/>
  <c r="E87" i="22"/>
  <c r="E86" i="22"/>
  <c r="E85" i="22"/>
  <c r="E84" i="22"/>
  <c r="E83" i="22"/>
  <c r="E82" i="22"/>
  <c r="E81" i="22"/>
  <c r="E80" i="22"/>
  <c r="E79" i="22"/>
  <c r="E78" i="22"/>
  <c r="E77" i="22"/>
  <c r="E76" i="22"/>
  <c r="E75" i="22"/>
  <c r="E74" i="22"/>
  <c r="E73" i="22"/>
  <c r="E72"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E37" i="22"/>
  <c r="E36" i="22"/>
  <c r="E35" i="22"/>
  <c r="E34" i="22"/>
  <c r="E33" i="22"/>
  <c r="E32" i="22"/>
  <c r="E31" i="22"/>
  <c r="E30" i="22"/>
  <c r="E29" i="22"/>
  <c r="E28" i="22"/>
  <c r="E27" i="22"/>
  <c r="E26" i="22"/>
  <c r="E25" i="22"/>
  <c r="E24" i="22"/>
  <c r="E23" i="22"/>
  <c r="E22" i="22"/>
  <c r="E21" i="22"/>
  <c r="E20" i="22"/>
  <c r="E19" i="22"/>
  <c r="E18" i="22"/>
  <c r="E17" i="22"/>
  <c r="E16" i="22"/>
  <c r="H15" i="22"/>
  <c r="H14" i="22"/>
  <c r="H13" i="22"/>
  <c r="H12" i="22"/>
  <c r="H11" i="22"/>
  <c r="H10" i="22"/>
  <c r="H9" i="22"/>
  <c r="H8" i="22"/>
  <c r="H7" i="22"/>
  <c r="H6" i="22"/>
  <c r="H5" i="22"/>
  <c r="H4" i="22"/>
  <c r="C6" i="19"/>
  <c r="O303" i="17" a="1"/>
  <c r="N303" i="17" a="1"/>
  <c r="I303" i="17"/>
  <c r="O302" i="17" a="1"/>
  <c r="N302" i="17" a="1"/>
  <c r="I302" i="17"/>
  <c r="O301" i="17" a="1"/>
  <c r="N301" i="17" a="1"/>
  <c r="I301" i="17"/>
  <c r="O300" i="17" a="1"/>
  <c r="N300" i="17" a="1"/>
  <c r="I300" i="17"/>
  <c r="O299" i="17" a="1"/>
  <c r="N299" i="17" a="1"/>
  <c r="I299" i="17"/>
  <c r="O298" i="17" a="1"/>
  <c r="N298" i="17" a="1"/>
  <c r="I298" i="17"/>
  <c r="O297" i="17" a="1"/>
  <c r="N297" i="17" a="1"/>
  <c r="I297" i="17"/>
  <c r="O296" i="17" a="1"/>
  <c r="N296" i="17" a="1"/>
  <c r="I296" i="17"/>
  <c r="O295" i="17" a="1"/>
  <c r="N295" i="17" a="1"/>
  <c r="I295" i="17"/>
  <c r="O294" i="17" a="1"/>
  <c r="N294" i="17" a="1"/>
  <c r="I294" i="17"/>
  <c r="O293" i="17" a="1"/>
  <c r="N293" i="17" a="1"/>
  <c r="I293" i="17"/>
  <c r="O292" i="17" a="1"/>
  <c r="N292" i="17" a="1"/>
  <c r="I292" i="17"/>
  <c r="O291" i="17" a="1"/>
  <c r="N291" i="17" a="1"/>
  <c r="I291" i="17"/>
  <c r="O290" i="17" a="1"/>
  <c r="N290" i="17" a="1"/>
  <c r="I290" i="17"/>
  <c r="O289" i="17" a="1"/>
  <c r="N289" i="17" a="1"/>
  <c r="I289" i="17"/>
  <c r="O288" i="17" a="1"/>
  <c r="N288" i="17" a="1"/>
  <c r="I288" i="17"/>
  <c r="O287" i="17" a="1"/>
  <c r="N287" i="17" a="1"/>
  <c r="I287" i="17"/>
  <c r="O286" i="17" a="1"/>
  <c r="N286" i="17" a="1"/>
  <c r="I286" i="17"/>
  <c r="O285" i="17" a="1"/>
  <c r="N285" i="17" a="1"/>
  <c r="I285" i="17"/>
  <c r="O284" i="17" a="1"/>
  <c r="N284" i="17" a="1"/>
  <c r="I284" i="17"/>
  <c r="O283" i="17" a="1"/>
  <c r="N283" i="17" a="1"/>
  <c r="I283" i="17"/>
  <c r="O282" i="17" a="1"/>
  <c r="N282" i="17" a="1"/>
  <c r="I282" i="17"/>
  <c r="O281" i="17" a="1"/>
  <c r="N281" i="17" a="1"/>
  <c r="I281" i="17"/>
  <c r="O280" i="17" a="1"/>
  <c r="N280" i="17" a="1"/>
  <c r="I280" i="17"/>
  <c r="O279" i="17" a="1"/>
  <c r="N279" i="17" a="1"/>
  <c r="I279" i="17"/>
  <c r="O278" i="17" a="1"/>
  <c r="N278" i="17" a="1"/>
  <c r="I278" i="17"/>
  <c r="O277" i="17" a="1"/>
  <c r="N277" i="17" a="1"/>
  <c r="I277" i="17"/>
  <c r="O276" i="17" a="1"/>
  <c r="N276" i="17" a="1"/>
  <c r="I276" i="17"/>
  <c r="O275" i="17" a="1"/>
  <c r="N275" i="17" a="1"/>
  <c r="I275" i="17"/>
  <c r="O274" i="17" a="1"/>
  <c r="N274" i="17" a="1"/>
  <c r="I274" i="17"/>
  <c r="O273" i="17" a="1"/>
  <c r="N273" i="17" a="1"/>
  <c r="I273" i="17"/>
  <c r="O272" i="17" a="1"/>
  <c r="N272" i="17" a="1"/>
  <c r="I272" i="17"/>
  <c r="O271" i="17" a="1"/>
  <c r="N271" i="17" a="1"/>
  <c r="I271" i="17"/>
  <c r="O270" i="17" a="1"/>
  <c r="N270" i="17" a="1"/>
  <c r="I270" i="17"/>
  <c r="O269" i="17" a="1"/>
  <c r="N269" i="17" a="1"/>
  <c r="I269" i="17"/>
  <c r="O268" i="17" a="1"/>
  <c r="N268" i="17" a="1"/>
  <c r="I268" i="17"/>
  <c r="O267" i="17" a="1"/>
  <c r="N267" i="17" a="1"/>
  <c r="I267" i="17"/>
  <c r="O266" i="17" a="1"/>
  <c r="N266" i="17" a="1"/>
  <c r="I266" i="17"/>
  <c r="O265" i="17" a="1"/>
  <c r="N265" i="17" a="1"/>
  <c r="I265" i="17"/>
  <c r="O264" i="17" a="1"/>
  <c r="N264" i="17" a="1"/>
  <c r="I264" i="17"/>
  <c r="O263" i="17" a="1"/>
  <c r="N263" i="17" a="1"/>
  <c r="I263" i="17"/>
  <c r="O262" i="17" a="1"/>
  <c r="N262" i="17" a="1"/>
  <c r="I262" i="17"/>
  <c r="O261" i="17" a="1"/>
  <c r="N261" i="17" a="1"/>
  <c r="I261" i="17"/>
  <c r="O260" i="17" a="1"/>
  <c r="N260" i="17" a="1"/>
  <c r="I260" i="17"/>
  <c r="O259" i="17" a="1"/>
  <c r="N259" i="17" a="1"/>
  <c r="I259" i="17"/>
  <c r="O258" i="17" a="1"/>
  <c r="N258" i="17" a="1"/>
  <c r="I258" i="17"/>
  <c r="O257" i="17" a="1"/>
  <c r="N257" i="17" a="1"/>
  <c r="I257" i="17"/>
  <c r="O256" i="17" a="1"/>
  <c r="N256" i="17" a="1"/>
  <c r="I256" i="17"/>
  <c r="O255" i="17" a="1"/>
  <c r="N255" i="17" a="1"/>
  <c r="I255" i="17"/>
  <c r="O254" i="17" a="1"/>
  <c r="N254" i="17" a="1"/>
  <c r="I254" i="17"/>
  <c r="O253" i="17" a="1"/>
  <c r="N253" i="17" a="1"/>
  <c r="I253" i="17"/>
  <c r="O252" i="17" a="1"/>
  <c r="N252" i="17" a="1"/>
  <c r="I252" i="17"/>
  <c r="O251" i="17" a="1"/>
  <c r="N251" i="17" a="1"/>
  <c r="I251" i="17"/>
  <c r="O250" i="17" a="1"/>
  <c r="N250" i="17" a="1"/>
  <c r="I250" i="17"/>
  <c r="O249" i="17" a="1"/>
  <c r="N249" i="17" a="1"/>
  <c r="I249" i="17"/>
  <c r="O248" i="17" a="1"/>
  <c r="N248" i="17" a="1"/>
  <c r="I248" i="17"/>
  <c r="O247" i="17" a="1"/>
  <c r="N247" i="17" a="1"/>
  <c r="I247" i="17"/>
  <c r="O246" i="17" a="1"/>
  <c r="N246" i="17" a="1"/>
  <c r="I246" i="17"/>
  <c r="O245" i="17" a="1"/>
  <c r="N245" i="17" a="1"/>
  <c r="I245" i="17"/>
  <c r="O244" i="17" a="1"/>
  <c r="N244" i="17" a="1"/>
  <c r="I244" i="17"/>
  <c r="O243" i="17" a="1"/>
  <c r="N243" i="17" a="1"/>
  <c r="I243" i="17"/>
  <c r="O242" i="17" a="1"/>
  <c r="N242" i="17" a="1"/>
  <c r="I242" i="17"/>
  <c r="O241" i="17" a="1"/>
  <c r="N241" i="17" a="1"/>
  <c r="I241" i="17"/>
  <c r="O240" i="17" a="1"/>
  <c r="N240" i="17" a="1"/>
  <c r="I240" i="17"/>
  <c r="O239" i="17" a="1"/>
  <c r="N239" i="17" a="1"/>
  <c r="I239" i="17"/>
  <c r="O238" i="17" a="1"/>
  <c r="N238" i="17" a="1"/>
  <c r="I238" i="17"/>
  <c r="O237" i="17" a="1"/>
  <c r="N237" i="17" a="1"/>
  <c r="I237" i="17"/>
  <c r="O236" i="17" a="1"/>
  <c r="N236" i="17" a="1"/>
  <c r="I236" i="17"/>
  <c r="O235" i="17" a="1"/>
  <c r="N235" i="17" a="1"/>
  <c r="I235" i="17"/>
  <c r="O234" i="17" a="1"/>
  <c r="N234" i="17" a="1"/>
  <c r="I234" i="17"/>
  <c r="O233" i="17" a="1"/>
  <c r="N233" i="17" a="1"/>
  <c r="I233" i="17"/>
  <c r="O232" i="17" a="1"/>
  <c r="N232" i="17" a="1"/>
  <c r="I232" i="17"/>
  <c r="O231" i="17" a="1"/>
  <c r="N231" i="17" a="1"/>
  <c r="I231" i="17"/>
  <c r="O230" i="17" a="1"/>
  <c r="N230" i="17" a="1"/>
  <c r="I230" i="17"/>
  <c r="O229" i="17" a="1"/>
  <c r="N229" i="17" a="1"/>
  <c r="I229" i="17"/>
  <c r="O228" i="17" a="1"/>
  <c r="N228" i="17" a="1"/>
  <c r="I228" i="17"/>
  <c r="O227" i="17" a="1"/>
  <c r="N227" i="17" a="1"/>
  <c r="I227" i="17"/>
  <c r="O226" i="17" a="1"/>
  <c r="N226" i="17" a="1"/>
  <c r="I226" i="17"/>
  <c r="O225" i="17" a="1"/>
  <c r="N225" i="17" a="1"/>
  <c r="I225" i="17"/>
  <c r="O224" i="17" a="1"/>
  <c r="N224" i="17" a="1"/>
  <c r="I224" i="17"/>
  <c r="O223" i="17" a="1"/>
  <c r="N223" i="17" a="1"/>
  <c r="I223" i="17"/>
  <c r="O222" i="17" a="1"/>
  <c r="N222" i="17" a="1"/>
  <c r="I222" i="17"/>
  <c r="O221" i="17" a="1"/>
  <c r="N221" i="17" a="1"/>
  <c r="I221" i="17"/>
  <c r="O220" i="17" a="1"/>
  <c r="N220" i="17" a="1"/>
  <c r="I220" i="17"/>
  <c r="O219" i="17" a="1"/>
  <c r="N219" i="17" a="1"/>
  <c r="I219" i="17"/>
  <c r="O218" i="17" a="1"/>
  <c r="N218" i="17" a="1"/>
  <c r="I218" i="17"/>
  <c r="O217" i="17" a="1"/>
  <c r="N217" i="17" a="1"/>
  <c r="I217" i="17"/>
  <c r="O216" i="17" a="1"/>
  <c r="N216" i="17" a="1"/>
  <c r="I216" i="17"/>
  <c r="O215" i="17" a="1"/>
  <c r="N215" i="17" a="1"/>
  <c r="I215" i="17"/>
  <c r="O214" i="17" a="1"/>
  <c r="N214" i="17" a="1"/>
  <c r="I214" i="17"/>
  <c r="O213" i="17" a="1"/>
  <c r="N213" i="17" a="1"/>
  <c r="I213" i="17"/>
  <c r="O212" i="17" a="1"/>
  <c r="N212" i="17" a="1"/>
  <c r="I212" i="17"/>
  <c r="O211" i="17" a="1"/>
  <c r="N211" i="17" a="1"/>
  <c r="I211" i="17"/>
  <c r="O210" i="17" a="1"/>
  <c r="N210" i="17" a="1"/>
  <c r="I210" i="17"/>
  <c r="O209" i="17" a="1"/>
  <c r="N209" i="17" a="1"/>
  <c r="I209" i="17"/>
  <c r="O208" i="17" a="1"/>
  <c r="N208" i="17" a="1"/>
  <c r="I208" i="17"/>
  <c r="O207" i="17" a="1"/>
  <c r="N207" i="17" a="1"/>
  <c r="I207" i="17"/>
  <c r="O206" i="17" a="1"/>
  <c r="N206" i="17" a="1"/>
  <c r="I206" i="17"/>
  <c r="O205" i="17" a="1"/>
  <c r="N205" i="17" a="1"/>
  <c r="I205" i="17"/>
  <c r="O204" i="17" a="1"/>
  <c r="N204" i="17" a="1"/>
  <c r="I204" i="17"/>
  <c r="O203" i="17" a="1"/>
  <c r="N203" i="17" a="1"/>
  <c r="I203" i="17"/>
  <c r="O202" i="17" a="1"/>
  <c r="N202" i="17" a="1"/>
  <c r="I202" i="17"/>
  <c r="O201" i="17" a="1"/>
  <c r="N201" i="17" a="1"/>
  <c r="I201" i="17"/>
  <c r="O200" i="17" a="1"/>
  <c r="N200" i="17" a="1"/>
  <c r="I200" i="17"/>
  <c r="O199" i="17" a="1"/>
  <c r="N199" i="17" a="1"/>
  <c r="I199" i="17"/>
  <c r="O198" i="17" a="1"/>
  <c r="N198" i="17" a="1"/>
  <c r="I198" i="17"/>
  <c r="O197" i="17" a="1"/>
  <c r="N197" i="17" a="1"/>
  <c r="I197" i="17"/>
  <c r="O196" i="17" a="1"/>
  <c r="N196" i="17" a="1"/>
  <c r="I196" i="17"/>
  <c r="O195" i="17" a="1"/>
  <c r="N195" i="17" a="1"/>
  <c r="I195" i="17"/>
  <c r="O194" i="17" a="1"/>
  <c r="N194" i="17" a="1"/>
  <c r="I194" i="17"/>
  <c r="O193" i="17" a="1"/>
  <c r="N193" i="17" a="1"/>
  <c r="I193" i="17"/>
  <c r="O192" i="17" a="1"/>
  <c r="N192" i="17" a="1"/>
  <c r="I192" i="17"/>
  <c r="O191" i="17" a="1"/>
  <c r="N191" i="17" a="1"/>
  <c r="I191" i="17"/>
  <c r="O190" i="17" a="1"/>
  <c r="N190" i="17" a="1"/>
  <c r="I190" i="17"/>
  <c r="O189" i="17" a="1"/>
  <c r="N189" i="17" a="1"/>
  <c r="I189" i="17"/>
  <c r="O188" i="17" a="1"/>
  <c r="N188" i="17" a="1"/>
  <c r="I188" i="17"/>
  <c r="O187" i="17" a="1"/>
  <c r="N187" i="17" a="1"/>
  <c r="I187" i="17"/>
  <c r="O186" i="17" a="1"/>
  <c r="N186" i="17" a="1"/>
  <c r="I186" i="17"/>
  <c r="O185" i="17" a="1"/>
  <c r="N185" i="17" a="1"/>
  <c r="I185" i="17"/>
  <c r="O184" i="17" a="1"/>
  <c r="N184" i="17" a="1"/>
  <c r="I184" i="17"/>
  <c r="O183" i="17" a="1"/>
  <c r="N183" i="17" a="1"/>
  <c r="I183" i="17"/>
  <c r="O182" i="17" a="1"/>
  <c r="N182" i="17" a="1"/>
  <c r="I182" i="17"/>
  <c r="O181" i="17" a="1"/>
  <c r="N181" i="17" a="1"/>
  <c r="I181" i="17"/>
  <c r="O180" i="17" a="1"/>
  <c r="N180" i="17" a="1"/>
  <c r="I180" i="17"/>
  <c r="O179" i="17" a="1"/>
  <c r="N179" i="17" a="1"/>
  <c r="I179" i="17"/>
  <c r="O178" i="17" a="1"/>
  <c r="N178" i="17" a="1"/>
  <c r="I178" i="17"/>
  <c r="O177" i="17" a="1"/>
  <c r="N177" i="17" a="1"/>
  <c r="I177" i="17"/>
  <c r="O176" i="17" a="1"/>
  <c r="N176" i="17" a="1"/>
  <c r="I176" i="17"/>
  <c r="O175" i="17" a="1"/>
  <c r="N175" i="17" a="1"/>
  <c r="I175" i="17"/>
  <c r="O174" i="17" a="1"/>
  <c r="N174" i="17" a="1"/>
  <c r="I174" i="17"/>
  <c r="O173" i="17" a="1"/>
  <c r="N173" i="17" a="1"/>
  <c r="I173" i="17"/>
  <c r="O172" i="17" a="1"/>
  <c r="N172" i="17" a="1"/>
  <c r="I172" i="17"/>
  <c r="O171" i="17" a="1"/>
  <c r="N171" i="17" a="1"/>
  <c r="I171" i="17"/>
  <c r="O170" i="17" a="1"/>
  <c r="N170" i="17" a="1"/>
  <c r="I170" i="17"/>
  <c r="O169" i="17" a="1"/>
  <c r="N169" i="17" a="1"/>
  <c r="I169" i="17"/>
  <c r="O168" i="17" a="1"/>
  <c r="N168" i="17" a="1"/>
  <c r="I168" i="17"/>
  <c r="O167" i="17" a="1"/>
  <c r="N167" i="17" a="1"/>
  <c r="I167" i="17"/>
  <c r="O166" i="17" a="1"/>
  <c r="N166" i="17" a="1"/>
  <c r="I166" i="17"/>
  <c r="O165" i="17" a="1"/>
  <c r="N165" i="17" a="1"/>
  <c r="I165" i="17"/>
  <c r="O164" i="17" a="1"/>
  <c r="N164" i="17" a="1"/>
  <c r="I164" i="17"/>
  <c r="O163" i="17" a="1"/>
  <c r="N163" i="17" a="1"/>
  <c r="I163" i="17"/>
  <c r="O162" i="17" a="1"/>
  <c r="N162" i="17" a="1"/>
  <c r="I162" i="17"/>
  <c r="O161" i="17" a="1"/>
  <c r="N161" i="17" a="1"/>
  <c r="I161" i="17"/>
  <c r="O160" i="17" a="1"/>
  <c r="N160" i="17" a="1"/>
  <c r="I160" i="17"/>
  <c r="O159" i="17" a="1"/>
  <c r="N159" i="17" a="1"/>
  <c r="I159" i="17"/>
  <c r="O158" i="17" a="1"/>
  <c r="N158" i="17" a="1"/>
  <c r="I158" i="17"/>
  <c r="O157" i="17" a="1"/>
  <c r="N157" i="17" a="1"/>
  <c r="I157" i="17"/>
  <c r="O156" i="17" a="1"/>
  <c r="N156" i="17" a="1"/>
  <c r="I156" i="17"/>
  <c r="O155" i="17" a="1"/>
  <c r="N155" i="17" a="1"/>
  <c r="I155" i="17"/>
  <c r="O154" i="17" a="1"/>
  <c r="N154" i="17" a="1"/>
  <c r="I154" i="17"/>
  <c r="O153" i="17" a="1"/>
  <c r="N153" i="17" a="1"/>
  <c r="I153" i="17"/>
  <c r="O152" i="17" a="1"/>
  <c r="N152" i="17" a="1"/>
  <c r="I152" i="17"/>
  <c r="O151" i="17" a="1"/>
  <c r="N151" i="17" a="1"/>
  <c r="I151" i="17"/>
  <c r="O150" i="17" a="1"/>
  <c r="N150" i="17" a="1"/>
  <c r="I150" i="17"/>
  <c r="O149" i="17" a="1"/>
  <c r="N149" i="17" a="1"/>
  <c r="I149" i="17"/>
  <c r="O148" i="17" a="1"/>
  <c r="N148" i="17" a="1"/>
  <c r="I148" i="17"/>
  <c r="O147" i="17" a="1"/>
  <c r="N147" i="17" a="1"/>
  <c r="I147" i="17"/>
  <c r="O146" i="17" a="1"/>
  <c r="N146" i="17" a="1"/>
  <c r="I146" i="17"/>
  <c r="O145" i="17" a="1"/>
  <c r="N145" i="17" a="1"/>
  <c r="I145" i="17"/>
  <c r="O144" i="17" a="1"/>
  <c r="N144" i="17" a="1"/>
  <c r="I144" i="17"/>
  <c r="O143" i="17" a="1"/>
  <c r="N143" i="17" a="1"/>
  <c r="I143" i="17"/>
  <c r="O142" i="17" a="1"/>
  <c r="N142" i="17" a="1"/>
  <c r="I142" i="17"/>
  <c r="O141" i="17" a="1"/>
  <c r="N141" i="17" a="1"/>
  <c r="I141" i="17"/>
  <c r="O140" i="17" a="1"/>
  <c r="N140" i="17" a="1"/>
  <c r="I140" i="17"/>
  <c r="O139" i="17" a="1"/>
  <c r="N139" i="17" a="1"/>
  <c r="I139" i="17"/>
  <c r="O138" i="17" a="1"/>
  <c r="N138" i="17" a="1"/>
  <c r="I138" i="17"/>
  <c r="O137" i="17" a="1"/>
  <c r="N137" i="17" a="1"/>
  <c r="I137" i="17"/>
  <c r="O136" i="17" a="1"/>
  <c r="N136" i="17" a="1"/>
  <c r="I136" i="17"/>
  <c r="O135" i="17" a="1"/>
  <c r="N135" i="17" a="1"/>
  <c r="I135" i="17"/>
  <c r="O134" i="17" a="1"/>
  <c r="N134" i="17" a="1"/>
  <c r="I134" i="17"/>
  <c r="O133" i="17" a="1"/>
  <c r="N133" i="17" a="1"/>
  <c r="I133" i="17"/>
  <c r="O132" i="17" a="1"/>
  <c r="N132" i="17" a="1"/>
  <c r="I132" i="17"/>
  <c r="O131" i="17" a="1"/>
  <c r="N131" i="17" a="1"/>
  <c r="I131" i="17"/>
  <c r="O130" i="17" a="1"/>
  <c r="N130" i="17" a="1"/>
  <c r="I130" i="17"/>
  <c r="O129" i="17" a="1"/>
  <c r="N129" i="17" a="1"/>
  <c r="I129" i="17"/>
  <c r="O128" i="17" a="1"/>
  <c r="N128" i="17" a="1"/>
  <c r="I128" i="17"/>
  <c r="O127" i="17" a="1"/>
  <c r="N127" i="17" a="1"/>
  <c r="I127" i="17"/>
  <c r="O126" i="17" a="1"/>
  <c r="N126" i="17" a="1"/>
  <c r="I126" i="17"/>
  <c r="O125" i="17" a="1"/>
  <c r="N125" i="17" a="1"/>
  <c r="I125" i="17"/>
  <c r="O124" i="17" a="1"/>
  <c r="N124" i="17" a="1"/>
  <c r="I124" i="17"/>
  <c r="O123" i="17" a="1"/>
  <c r="N123" i="17" a="1"/>
  <c r="I123" i="17"/>
  <c r="O122" i="17" a="1"/>
  <c r="N122" i="17" a="1"/>
  <c r="I122" i="17"/>
  <c r="O121" i="17" a="1"/>
  <c r="N121" i="17" a="1"/>
  <c r="I121" i="17"/>
  <c r="O120" i="17" a="1"/>
  <c r="N120" i="17" a="1"/>
  <c r="I120" i="17"/>
  <c r="O119" i="17" a="1"/>
  <c r="N119" i="17" a="1"/>
  <c r="I119" i="17"/>
  <c r="O118" i="17" a="1"/>
  <c r="N118" i="17" a="1"/>
  <c r="I118" i="17"/>
  <c r="O117" i="17" a="1"/>
  <c r="N117" i="17" a="1"/>
  <c r="I117" i="17"/>
  <c r="O116" i="17" a="1"/>
  <c r="N116" i="17" a="1"/>
  <c r="I116" i="17"/>
  <c r="O115" i="17" a="1"/>
  <c r="N115" i="17" a="1"/>
  <c r="I115" i="17"/>
  <c r="O114" i="17" a="1"/>
  <c r="N114" i="17" a="1"/>
  <c r="I114" i="17"/>
  <c r="O113" i="17" a="1"/>
  <c r="N113" i="17" a="1"/>
  <c r="I113" i="17"/>
  <c r="O112" i="17" a="1"/>
  <c r="N112" i="17" a="1"/>
  <c r="I112" i="17"/>
  <c r="O111" i="17" a="1"/>
  <c r="N111" i="17" a="1"/>
  <c r="I111" i="17"/>
  <c r="O110" i="17" a="1"/>
  <c r="N110" i="17" a="1"/>
  <c r="I110" i="17"/>
  <c r="O109" i="17" a="1"/>
  <c r="N109" i="17" a="1"/>
  <c r="I109" i="17"/>
  <c r="O108" i="17" a="1"/>
  <c r="N108" i="17" a="1"/>
  <c r="I108" i="17"/>
  <c r="O107" i="17" a="1"/>
  <c r="N107" i="17" a="1"/>
  <c r="I107" i="17"/>
  <c r="O106" i="17" a="1"/>
  <c r="N106" i="17" a="1"/>
  <c r="I106" i="17"/>
  <c r="O105" i="17" a="1"/>
  <c r="N105" i="17" a="1"/>
  <c r="I105" i="17"/>
  <c r="O104" i="17" a="1"/>
  <c r="N104" i="17" a="1"/>
  <c r="I104" i="17"/>
  <c r="O103" i="17" a="1"/>
  <c r="N103" i="17" a="1"/>
  <c r="I103" i="17"/>
  <c r="O102" i="17" a="1"/>
  <c r="N102" i="17" a="1"/>
  <c r="I102" i="17"/>
  <c r="O101" i="17" a="1"/>
  <c r="N101" i="17" a="1"/>
  <c r="I101" i="17"/>
  <c r="O100" i="17" a="1"/>
  <c r="N100" i="17" a="1"/>
  <c r="I100" i="17"/>
  <c r="O99" i="17" a="1"/>
  <c r="N99" i="17" a="1"/>
  <c r="I99" i="17"/>
  <c r="O98" i="17" a="1"/>
  <c r="N98" i="17" a="1"/>
  <c r="I98" i="17"/>
  <c r="O97" i="17" a="1"/>
  <c r="N97" i="17" a="1"/>
  <c r="I97" i="17"/>
  <c r="O96" i="17" a="1"/>
  <c r="N96" i="17" a="1"/>
  <c r="I96" i="17"/>
  <c r="O95" i="17" a="1"/>
  <c r="N95" i="17" a="1"/>
  <c r="I95" i="17"/>
  <c r="O94" i="17" a="1"/>
  <c r="N94" i="17" a="1"/>
  <c r="I94" i="17"/>
  <c r="O93" i="17" a="1"/>
  <c r="N93" i="17" a="1"/>
  <c r="I93" i="17"/>
  <c r="O92" i="17" a="1"/>
  <c r="N92" i="17" a="1"/>
  <c r="I92" i="17"/>
  <c r="O91" i="17" a="1"/>
  <c r="N91" i="17" a="1"/>
  <c r="I91" i="17"/>
  <c r="O90" i="17" a="1"/>
  <c r="N90" i="17" a="1"/>
  <c r="I90" i="17"/>
  <c r="O89" i="17" a="1"/>
  <c r="N89" i="17" a="1"/>
  <c r="I89" i="17"/>
  <c r="O88" i="17" a="1"/>
  <c r="N88" i="17" a="1"/>
  <c r="I88" i="17"/>
  <c r="O87" i="17" a="1"/>
  <c r="N87" i="17" a="1"/>
  <c r="I87" i="17"/>
  <c r="O86" i="17" a="1"/>
  <c r="N86" i="17" a="1"/>
  <c r="I86" i="17"/>
  <c r="O85" i="17" a="1"/>
  <c r="N85" i="17" a="1"/>
  <c r="I85" i="17"/>
  <c r="O84" i="17" a="1"/>
  <c r="N84" i="17" a="1"/>
  <c r="I84" i="17"/>
  <c r="O83" i="17" a="1"/>
  <c r="N83" i="17" a="1"/>
  <c r="I83" i="17"/>
  <c r="O82" i="17" a="1"/>
  <c r="N82" i="17" a="1"/>
  <c r="I82" i="17"/>
  <c r="O81" i="17" a="1"/>
  <c r="N81" i="17" a="1"/>
  <c r="I81" i="17"/>
  <c r="O80" i="17" a="1"/>
  <c r="N80" i="17" a="1"/>
  <c r="I80" i="17"/>
  <c r="O79" i="17" a="1"/>
  <c r="N79" i="17" a="1"/>
  <c r="I79" i="17"/>
  <c r="O78" i="17" a="1"/>
  <c r="N78" i="17" a="1"/>
  <c r="I78" i="17"/>
  <c r="O77" i="17" a="1"/>
  <c r="N77" i="17" a="1"/>
  <c r="I77" i="17"/>
  <c r="O76" i="17" a="1"/>
  <c r="N76" i="17" a="1"/>
  <c r="I76" i="17"/>
  <c r="O75" i="17" a="1"/>
  <c r="N75" i="17" a="1"/>
  <c r="I75" i="17"/>
  <c r="O74" i="17" a="1"/>
  <c r="N74" i="17" a="1"/>
  <c r="I74" i="17"/>
  <c r="O73" i="17" a="1"/>
  <c r="N73" i="17" a="1"/>
  <c r="I73" i="17"/>
  <c r="O72" i="17" a="1"/>
  <c r="N72" i="17" a="1"/>
  <c r="I72" i="17"/>
  <c r="O71" i="17" a="1"/>
  <c r="N71" i="17" a="1"/>
  <c r="I71" i="17"/>
  <c r="O70" i="17" a="1"/>
  <c r="N70" i="17" a="1"/>
  <c r="I70" i="17"/>
  <c r="O69" i="17" a="1"/>
  <c r="N69" i="17" a="1"/>
  <c r="I69" i="17"/>
  <c r="O68" i="17" a="1"/>
  <c r="N68" i="17" a="1"/>
  <c r="I68" i="17"/>
  <c r="O67" i="17" a="1"/>
  <c r="N67" i="17" a="1"/>
  <c r="I67" i="17"/>
  <c r="O66" i="17" a="1"/>
  <c r="N66" i="17" a="1"/>
  <c r="I66" i="17"/>
  <c r="O65" i="17" a="1"/>
  <c r="N65" i="17" a="1"/>
  <c r="I65" i="17"/>
  <c r="O64" i="17" a="1"/>
  <c r="N64" i="17" a="1"/>
  <c r="I64" i="17"/>
  <c r="O63" i="17" a="1"/>
  <c r="N63" i="17" a="1"/>
  <c r="I63" i="17"/>
  <c r="O62" i="17" a="1"/>
  <c r="N62" i="17" a="1"/>
  <c r="I62" i="17"/>
  <c r="O61" i="17" a="1"/>
  <c r="N61" i="17" a="1"/>
  <c r="I61" i="17"/>
  <c r="O60" i="17" a="1"/>
  <c r="N60" i="17" a="1"/>
  <c r="I60" i="17"/>
  <c r="O59" i="17" a="1"/>
  <c r="N59" i="17" a="1"/>
  <c r="I59" i="17"/>
  <c r="O58" i="17" a="1"/>
  <c r="N58" i="17" a="1"/>
  <c r="I58" i="17"/>
  <c r="O57" i="17" a="1"/>
  <c r="N57" i="17" a="1"/>
  <c r="I57" i="17"/>
  <c r="O56" i="17" a="1"/>
  <c r="N56" i="17" a="1"/>
  <c r="I56" i="17"/>
  <c r="O55" i="17" a="1"/>
  <c r="N55" i="17" a="1"/>
  <c r="I55" i="17"/>
  <c r="O54" i="17" a="1"/>
  <c r="N54" i="17" a="1"/>
  <c r="I54" i="17"/>
  <c r="O53" i="17" a="1"/>
  <c r="N53" i="17" a="1"/>
  <c r="I53" i="17"/>
  <c r="O52" i="17" a="1"/>
  <c r="N52" i="17" a="1"/>
  <c r="I52" i="17"/>
  <c r="O51" i="17" a="1"/>
  <c r="N51" i="17" a="1"/>
  <c r="I51" i="17"/>
  <c r="O50" i="17" a="1"/>
  <c r="N50" i="17" a="1"/>
  <c r="I50" i="17"/>
  <c r="O49" i="17" a="1"/>
  <c r="N49" i="17" a="1"/>
  <c r="I49" i="17"/>
  <c r="O48" i="17" a="1"/>
  <c r="N48" i="17" a="1"/>
  <c r="I48" i="17"/>
  <c r="O47" i="17" a="1"/>
  <c r="N47" i="17" a="1"/>
  <c r="I47" i="17"/>
  <c r="O46" i="17" a="1"/>
  <c r="N46" i="17" a="1"/>
  <c r="I46" i="17"/>
  <c r="O45" i="17" a="1"/>
  <c r="N45" i="17" a="1"/>
  <c r="I45" i="17"/>
  <c r="O44" i="17" a="1"/>
  <c r="N44" i="17" a="1"/>
  <c r="I44" i="17"/>
  <c r="O43" i="17" a="1"/>
  <c r="N43" i="17" a="1"/>
  <c r="I43" i="17"/>
  <c r="O42" i="17" a="1"/>
  <c r="N42" i="17" a="1"/>
  <c r="I42" i="17"/>
  <c r="O41" i="17" a="1"/>
  <c r="N41" i="17" a="1"/>
  <c r="I41" i="17"/>
  <c r="O40" i="17" a="1"/>
  <c r="N40" i="17" a="1"/>
  <c r="I40" i="17"/>
  <c r="O39" i="17" a="1"/>
  <c r="N39" i="17" a="1"/>
  <c r="I39" i="17"/>
  <c r="O38" i="17" a="1"/>
  <c r="N38" i="17" a="1"/>
  <c r="I38" i="17"/>
  <c r="O37" i="17" a="1"/>
  <c r="N37" i="17" a="1"/>
  <c r="I37" i="17"/>
  <c r="O36" i="17" a="1"/>
  <c r="N36" i="17" a="1"/>
  <c r="I36" i="17"/>
  <c r="O35" i="17" a="1"/>
  <c r="N35" i="17" a="1"/>
  <c r="I35" i="17"/>
  <c r="O34" i="17" a="1"/>
  <c r="N34" i="17" a="1"/>
  <c r="I34" i="17"/>
  <c r="O33" i="17" a="1"/>
  <c r="N33" i="17" a="1"/>
  <c r="I33" i="17"/>
  <c r="O32" i="17" a="1"/>
  <c r="N32" i="17" a="1"/>
  <c r="I32" i="17"/>
  <c r="O31" i="17" a="1"/>
  <c r="N31" i="17" a="1"/>
  <c r="I31" i="17"/>
  <c r="O30" i="17" a="1"/>
  <c r="N30" i="17" a="1"/>
  <c r="I30" i="17"/>
  <c r="O29" i="17" a="1"/>
  <c r="N29" i="17" a="1"/>
  <c r="I29" i="17"/>
  <c r="O28" i="17" a="1"/>
  <c r="N28" i="17" a="1"/>
  <c r="I28" i="17"/>
  <c r="O27" i="17" a="1"/>
  <c r="N27" i="17" a="1"/>
  <c r="I27" i="17"/>
  <c r="O26" i="17" a="1"/>
  <c r="N26" i="17" a="1"/>
  <c r="I26" i="17"/>
  <c r="O25" i="17" a="1"/>
  <c r="N25" i="17" a="1"/>
  <c r="I25" i="17"/>
  <c r="O24" i="17" a="1"/>
  <c r="N24" i="17" a="1"/>
  <c r="I24" i="17"/>
  <c r="O23" i="17" a="1"/>
  <c r="N23" i="17" a="1"/>
  <c r="I23" i="17"/>
  <c r="O22" i="17" a="1"/>
  <c r="N22" i="17" a="1"/>
  <c r="I22" i="17"/>
  <c r="O21" i="17" a="1"/>
  <c r="N21" i="17" a="1"/>
  <c r="I21" i="17"/>
  <c r="O20" i="17" a="1"/>
  <c r="N20" i="17" a="1"/>
  <c r="I20" i="17"/>
  <c r="O19" i="17" a="1"/>
  <c r="N19" i="17" a="1"/>
  <c r="I19" i="17"/>
  <c r="O18" i="17" a="1"/>
  <c r="N18" i="17" a="1"/>
  <c r="I18" i="17"/>
  <c r="O17" i="17" a="1"/>
  <c r="N17" i="17" a="1"/>
  <c r="I17" i="17"/>
  <c r="O16" i="17" a="1"/>
  <c r="N16" i="17" a="1"/>
  <c r="I16" i="17"/>
  <c r="O15" i="17" a="1"/>
  <c r="N15" i="17" a="1"/>
  <c r="I15" i="17"/>
  <c r="O14" i="17" a="1"/>
  <c r="N14" i="17" a="1"/>
  <c r="I14" i="17"/>
  <c r="O13" i="17" a="1"/>
  <c r="N13" i="17" a="1"/>
  <c r="I13" i="17"/>
  <c r="O12" i="17" a="1"/>
  <c r="N12" i="17" a="1"/>
  <c r="I12" i="17"/>
  <c r="O11" i="17" a="1"/>
  <c r="N11" i="17" a="1"/>
  <c r="I11" i="17"/>
  <c r="O10" i="17" a="1"/>
  <c r="N10" i="17" a="1"/>
  <c r="I10" i="17"/>
  <c r="O9" i="17" a="1"/>
  <c r="N9" i="17" a="1"/>
  <c r="I9" i="17"/>
  <c r="O8" i="17" a="1"/>
  <c r="N8" i="17" a="1"/>
  <c r="I8" i="17"/>
  <c r="O7" i="17" a="1"/>
  <c r="N7" i="17" a="1"/>
  <c r="I7" i="17"/>
  <c r="O6" i="17" a="1"/>
  <c r="N6" i="17" a="1"/>
  <c r="I6" i="17"/>
  <c r="O5" i="17" a="1"/>
  <c r="N5" i="17" a="1"/>
  <c r="I5" i="17"/>
  <c r="O4" i="17" a="1"/>
  <c r="N4" i="17" a="1"/>
  <c r="I4" i="17"/>
  <c r="G4" i="12"/>
  <c r="H4" i="12"/>
  <c r="I4" i="12"/>
  <c r="J4" i="12"/>
  <c r="G5" i="12"/>
  <c r="H5" i="12"/>
  <c r="I5" i="12"/>
  <c r="J5" i="12"/>
  <c r="G6" i="12"/>
  <c r="H6" i="12"/>
  <c r="I6" i="12"/>
  <c r="J6" i="12"/>
  <c r="G7" i="12"/>
  <c r="H7" i="12"/>
  <c r="I7" i="12"/>
  <c r="J7" i="12"/>
  <c r="G8" i="12"/>
  <c r="H8" i="12"/>
  <c r="I8" i="12"/>
  <c r="J8" i="12"/>
  <c r="G9" i="12"/>
  <c r="H9" i="12"/>
  <c r="I9" i="12"/>
  <c r="J9" i="12"/>
  <c r="G10" i="12"/>
  <c r="H10" i="12"/>
  <c r="I10" i="12"/>
  <c r="J10" i="12"/>
  <c r="G11" i="12"/>
  <c r="H11" i="12"/>
  <c r="I11" i="12"/>
  <c r="J11" i="12"/>
  <c r="G12" i="12"/>
  <c r="H12" i="12"/>
  <c r="I12" i="12"/>
  <c r="J12" i="12"/>
  <c r="G13" i="12"/>
  <c r="H13" i="12"/>
  <c r="I13" i="12"/>
  <c r="J13" i="12"/>
  <c r="G14" i="12"/>
  <c r="H14" i="12"/>
  <c r="I14" i="12"/>
  <c r="J14" i="12"/>
  <c r="G15" i="12"/>
  <c r="H15" i="12"/>
  <c r="I15" i="12"/>
  <c r="J15" i="12"/>
  <c r="G16" i="12"/>
  <c r="H16" i="12"/>
  <c r="I16" i="12"/>
  <c r="J16" i="12"/>
  <c r="G17" i="12"/>
  <c r="H17" i="12"/>
  <c r="I17" i="12"/>
  <c r="J17" i="12"/>
  <c r="G18" i="12"/>
  <c r="H18" i="12"/>
  <c r="I18" i="12"/>
  <c r="J18" i="12"/>
  <c r="G19" i="12"/>
  <c r="H19" i="12"/>
  <c r="I19" i="12"/>
  <c r="J19" i="12"/>
  <c r="G20" i="12"/>
  <c r="H20" i="12"/>
  <c r="I20" i="12"/>
  <c r="J20" i="12"/>
  <c r="G21" i="12"/>
  <c r="H21" i="12"/>
  <c r="I21" i="12"/>
  <c r="J21" i="12"/>
  <c r="G22" i="12"/>
  <c r="H22" i="12"/>
  <c r="I22" i="12"/>
  <c r="J22" i="12"/>
  <c r="G23" i="12"/>
  <c r="H23" i="12"/>
  <c r="I23" i="12"/>
  <c r="J23" i="12"/>
  <c r="G24" i="12"/>
  <c r="H24" i="12"/>
  <c r="I24" i="12"/>
  <c r="J24" i="12"/>
  <c r="G25" i="12"/>
  <c r="H25" i="12"/>
  <c r="I25" i="12"/>
  <c r="J25" i="12"/>
  <c r="G26" i="12"/>
  <c r="H26" i="12"/>
  <c r="I26" i="12"/>
  <c r="J26" i="12"/>
  <c r="G27" i="12"/>
  <c r="H27" i="12"/>
  <c r="I27" i="12"/>
  <c r="J27" i="12"/>
  <c r="G28" i="12"/>
  <c r="H28" i="12"/>
  <c r="I28" i="12"/>
  <c r="J28" i="12"/>
  <c r="G29" i="12"/>
  <c r="H29" i="12"/>
  <c r="I29" i="12"/>
  <c r="J29" i="12"/>
  <c r="G30" i="12"/>
  <c r="H30" i="12"/>
  <c r="I30" i="12"/>
  <c r="J30" i="12"/>
  <c r="G31" i="12"/>
  <c r="H31" i="12"/>
  <c r="I31" i="12"/>
  <c r="J31" i="12"/>
  <c r="G32" i="12"/>
  <c r="H32" i="12"/>
  <c r="I32" i="12"/>
  <c r="J32" i="12"/>
  <c r="G33" i="12"/>
  <c r="H33" i="12"/>
  <c r="I33" i="12"/>
  <c r="J33" i="12"/>
  <c r="G34" i="12"/>
  <c r="H34" i="12"/>
  <c r="I34" i="12"/>
  <c r="J34" i="12"/>
  <c r="G35" i="12"/>
  <c r="H35" i="12"/>
  <c r="I35" i="12"/>
  <c r="J35" i="12"/>
  <c r="G36" i="12"/>
  <c r="H36" i="12"/>
  <c r="I36" i="12"/>
  <c r="J36" i="12"/>
  <c r="G37" i="12"/>
  <c r="H37" i="12"/>
  <c r="I37" i="12"/>
  <c r="J37" i="12"/>
  <c r="G38" i="12"/>
  <c r="H38" i="12"/>
  <c r="I38" i="12"/>
  <c r="J38" i="12"/>
  <c r="G39" i="12"/>
  <c r="H39" i="12"/>
  <c r="I39" i="12"/>
  <c r="J39" i="12"/>
  <c r="G40" i="12"/>
  <c r="H40" i="12"/>
  <c r="I40" i="12"/>
  <c r="J40" i="12"/>
  <c r="G41" i="12"/>
  <c r="H41" i="12"/>
  <c r="I41" i="12"/>
  <c r="J41" i="12"/>
  <c r="G42" i="12"/>
  <c r="H42" i="12"/>
  <c r="I42" i="12"/>
  <c r="J42" i="12"/>
  <c r="G43" i="12"/>
  <c r="H43" i="12"/>
  <c r="I43" i="12"/>
  <c r="J43" i="12"/>
  <c r="G44" i="12"/>
  <c r="H44" i="12"/>
  <c r="I44" i="12"/>
  <c r="J44" i="12"/>
  <c r="G45" i="12"/>
  <c r="H45" i="12"/>
  <c r="I45" i="12"/>
  <c r="J45" i="12"/>
  <c r="G46" i="12"/>
  <c r="H46" i="12"/>
  <c r="I46" i="12"/>
  <c r="J46" i="12"/>
  <c r="G47" i="12"/>
  <c r="H47" i="12"/>
  <c r="I47" i="12"/>
  <c r="J47" i="12"/>
  <c r="G48" i="12"/>
  <c r="H48" i="12"/>
  <c r="I48" i="12"/>
  <c r="J48" i="12"/>
  <c r="G49" i="12"/>
  <c r="H49" i="12"/>
  <c r="I49" i="12"/>
  <c r="J49" i="12"/>
  <c r="G50" i="12"/>
  <c r="H50" i="12"/>
  <c r="I50" i="12"/>
  <c r="J50" i="12"/>
  <c r="G51" i="12"/>
  <c r="H51" i="12"/>
  <c r="I51" i="12"/>
  <c r="J51" i="12"/>
  <c r="G52" i="12"/>
  <c r="H52" i="12"/>
  <c r="I52" i="12"/>
  <c r="J52" i="12"/>
  <c r="G53" i="12"/>
  <c r="H53" i="12"/>
  <c r="I53" i="12"/>
  <c r="J53" i="12"/>
  <c r="D9" i="10"/>
  <c r="B14" i="29" l="1"/>
  <c r="K4" i="12"/>
  <c r="M4" i="12" s="1"/>
  <c r="K32" i="12"/>
  <c r="K46" i="12"/>
  <c r="K8" i="12"/>
  <c r="M8" i="12" s="1"/>
  <c r="K12" i="12"/>
  <c r="K19" i="12"/>
  <c r="M19" i="12" s="1"/>
  <c r="K41" i="12"/>
  <c r="K13" i="12"/>
  <c r="K25" i="12"/>
  <c r="K43" i="12"/>
  <c r="K28" i="12"/>
  <c r="K34" i="12"/>
  <c r="K48" i="12"/>
  <c r="M48" i="12" s="1"/>
  <c r="K52" i="12"/>
  <c r="I304" i="17"/>
  <c r="C9" i="19" a="1"/>
  <c r="B31" i="27"/>
  <c r="B30" i="27"/>
  <c r="B29" i="27"/>
  <c r="B28" i="27"/>
  <c r="B27" i="27"/>
  <c r="B26" i="27"/>
  <c r="B25" i="27"/>
  <c r="B24" i="27"/>
  <c r="B23" i="27"/>
  <c r="B18" i="27"/>
  <c r="B17" i="27" a="1"/>
  <c r="I7" i="25"/>
  <c r="G122" i="24"/>
  <c r="J100" i="24"/>
  <c r="J88" i="24"/>
  <c r="J87" i="24"/>
  <c r="J84" i="24"/>
  <c r="J82" i="24"/>
  <c r="J78" i="24"/>
  <c r="J73" i="24"/>
  <c r="J69" i="24"/>
  <c r="J63" i="24"/>
  <c r="J59" i="24"/>
  <c r="J53" i="24"/>
  <c r="J49" i="24"/>
  <c r="J46" i="24"/>
  <c r="J38" i="24"/>
  <c r="J37" i="24"/>
  <c r="J33" i="24"/>
  <c r="J23" i="24"/>
  <c r="J19" i="24"/>
  <c r="J16" i="24"/>
  <c r="J11" i="24"/>
  <c r="J9" i="24"/>
  <c r="J7" i="24"/>
  <c r="L4" i="12" a="1"/>
  <c r="L13" i="12" a="1"/>
  <c r="M13" i="12"/>
  <c r="L19" i="12" a="1"/>
  <c r="K22" i="12"/>
  <c r="K24" i="12"/>
  <c r="L25" i="12" a="1"/>
  <c r="M25" i="12"/>
  <c r="K30" i="12"/>
  <c r="L43" i="12" a="1"/>
  <c r="M43" i="12"/>
  <c r="L46" i="12" a="1"/>
  <c r="M46" i="12"/>
  <c r="K51" i="12"/>
  <c r="B15" i="27"/>
  <c r="C15" i="27" s="1"/>
  <c r="F8" i="27"/>
  <c r="D8" i="27"/>
  <c r="D6" i="27"/>
  <c r="C6" i="27"/>
  <c r="F5" i="27"/>
  <c r="D5" i="27"/>
  <c r="B7" i="26"/>
  <c r="B5" i="26"/>
  <c r="C7" i="25"/>
  <c r="I6" i="25"/>
  <c r="C5" i="25"/>
  <c r="J122" i="24"/>
  <c r="J103" i="24"/>
  <c r="J102" i="24"/>
  <c r="J99" i="24"/>
  <c r="J95" i="24"/>
  <c r="J93" i="24"/>
  <c r="J89" i="24"/>
  <c r="J83" i="24"/>
  <c r="J79" i="24"/>
  <c r="J76" i="24"/>
  <c r="J72" i="24"/>
  <c r="J68" i="24"/>
  <c r="J64" i="24"/>
  <c r="J58" i="24"/>
  <c r="J55" i="24"/>
  <c r="J54" i="24"/>
  <c r="J51" i="24"/>
  <c r="J47" i="24"/>
  <c r="J43" i="24"/>
  <c r="J39" i="24"/>
  <c r="J36" i="24"/>
  <c r="J35" i="24"/>
  <c r="J32" i="24"/>
  <c r="J25" i="24"/>
  <c r="J24" i="24"/>
  <c r="J22" i="24"/>
  <c r="J21" i="24"/>
  <c r="J17" i="24"/>
  <c r="J13" i="24"/>
  <c r="J6" i="24"/>
  <c r="J5" i="24"/>
  <c r="J4" i="24"/>
  <c r="I11" i="22"/>
  <c r="I9" i="22"/>
  <c r="I8" i="22"/>
  <c r="I6" i="22"/>
  <c r="I5" i="22"/>
  <c r="L8" i="12" a="1"/>
  <c r="K10" i="12"/>
  <c r="L12" i="12" a="1"/>
  <c r="M12" i="12"/>
  <c r="L32" i="12" a="1"/>
  <c r="M32" i="12"/>
  <c r="L34" i="12" a="1"/>
  <c r="M34" i="12"/>
  <c r="K39" i="12"/>
  <c r="L41" i="12" a="1"/>
  <c r="L48" i="12" a="1"/>
  <c r="B13" i="27"/>
  <c r="C13" i="27" s="1"/>
  <c r="E8" i="27"/>
  <c r="C8" i="27"/>
  <c r="F7" i="27"/>
  <c r="C7" i="27"/>
  <c r="F6" i="27"/>
  <c r="E6" i="27"/>
  <c r="C5" i="27"/>
  <c r="B4" i="26"/>
  <c r="C6" i="25"/>
  <c r="I5" i="25"/>
  <c r="H4" i="25"/>
  <c r="C4" i="25"/>
  <c r="J101" i="24"/>
  <c r="J98" i="24"/>
  <c r="J97" i="24"/>
  <c r="J92" i="24"/>
  <c r="J91" i="24"/>
  <c r="J86" i="24"/>
  <c r="J81" i="24"/>
  <c r="J77" i="24"/>
  <c r="J74" i="24"/>
  <c r="J71" i="24"/>
  <c r="J67" i="24"/>
  <c r="J65" i="24"/>
  <c r="J62" i="24"/>
  <c r="J60" i="24"/>
  <c r="J57" i="24"/>
  <c r="J56" i="24"/>
  <c r="J52" i="24"/>
  <c r="J48" i="24"/>
  <c r="J44" i="24"/>
  <c r="J42" i="24"/>
  <c r="J41" i="24"/>
  <c r="J34" i="24"/>
  <c r="J31" i="24"/>
  <c r="J29" i="24"/>
  <c r="J27" i="24"/>
  <c r="J18" i="24"/>
  <c r="J15" i="24"/>
  <c r="J14" i="24"/>
  <c r="J12" i="24"/>
  <c r="J8" i="24"/>
  <c r="I15" i="22"/>
  <c r="I14" i="22"/>
  <c r="I13" i="22"/>
  <c r="I12" i="22"/>
  <c r="I10" i="22"/>
  <c r="I7" i="22"/>
  <c r="K300" i="17"/>
  <c r="J300" i="17"/>
  <c r="K298" i="17"/>
  <c r="J298" i="17"/>
  <c r="K296" i="17"/>
  <c r="J296" i="17"/>
  <c r="K292" i="17"/>
  <c r="J292" i="17"/>
  <c r="K290" i="17"/>
  <c r="J290" i="17"/>
  <c r="K288" i="17"/>
  <c r="J288" i="17"/>
  <c r="K286" i="17"/>
  <c r="J286" i="17"/>
  <c r="K284" i="17"/>
  <c r="J284" i="17"/>
  <c r="K282" i="17"/>
  <c r="J282" i="17"/>
  <c r="K281" i="17"/>
  <c r="J281" i="17"/>
  <c r="K279" i="17"/>
  <c r="J279" i="17"/>
  <c r="K278" i="17"/>
  <c r="J278" i="17"/>
  <c r="K277" i="17"/>
  <c r="J277" i="17"/>
  <c r="K275" i="17"/>
  <c r="J275" i="17"/>
  <c r="K272" i="17"/>
  <c r="J272" i="17"/>
  <c r="K270" i="17"/>
  <c r="J270" i="17"/>
  <c r="K267" i="17"/>
  <c r="J267" i="17"/>
  <c r="K266" i="17"/>
  <c r="J266" i="17"/>
  <c r="K265" i="17"/>
  <c r="J265" i="17"/>
  <c r="K264" i="17"/>
  <c r="J264" i="17"/>
  <c r="K263" i="17"/>
  <c r="J263" i="17"/>
  <c r="K262" i="17"/>
  <c r="J262" i="17"/>
  <c r="K260" i="17"/>
  <c r="J260" i="17"/>
  <c r="K258" i="17"/>
  <c r="J258" i="17"/>
  <c r="K256" i="17"/>
  <c r="J256" i="17"/>
  <c r="K254" i="17"/>
  <c r="J254" i="17"/>
  <c r="K251" i="17"/>
  <c r="J251" i="17"/>
  <c r="K248" i="17"/>
  <c r="J248" i="17"/>
  <c r="K246" i="17"/>
  <c r="J246" i="17"/>
  <c r="K245" i="17"/>
  <c r="J245" i="17"/>
  <c r="K242" i="17"/>
  <c r="J242" i="17"/>
  <c r="K239" i="17"/>
  <c r="J239" i="17"/>
  <c r="K236" i="17"/>
  <c r="J236" i="17"/>
  <c r="K233" i="17"/>
  <c r="J233" i="17"/>
  <c r="K230" i="17"/>
  <c r="J230" i="17"/>
  <c r="K227" i="17"/>
  <c r="J227" i="17"/>
  <c r="K226" i="17"/>
  <c r="J226" i="17"/>
  <c r="K223" i="17"/>
  <c r="J223" i="17"/>
  <c r="K220" i="17"/>
  <c r="J220" i="17"/>
  <c r="K215" i="17"/>
  <c r="J215" i="17"/>
  <c r="K212" i="17"/>
  <c r="J212" i="17"/>
  <c r="K209" i="17"/>
  <c r="J209" i="17"/>
  <c r="K207" i="17"/>
  <c r="J207" i="17"/>
  <c r="K204" i="17"/>
  <c r="J204" i="17"/>
  <c r="K201" i="17"/>
  <c r="J201" i="17"/>
  <c r="K198" i="17"/>
  <c r="J198" i="17"/>
  <c r="K195" i="17"/>
  <c r="J195" i="17"/>
  <c r="K192" i="17"/>
  <c r="J192" i="17"/>
  <c r="K190" i="17"/>
  <c r="J190" i="17"/>
  <c r="K187" i="17"/>
  <c r="J187" i="17"/>
  <c r="K186" i="17"/>
  <c r="J186" i="17"/>
  <c r="K185" i="17"/>
  <c r="J185" i="17"/>
  <c r="K182" i="17"/>
  <c r="J182" i="17"/>
  <c r="K179" i="17"/>
  <c r="J179" i="17"/>
  <c r="K176" i="17"/>
  <c r="J176" i="17"/>
  <c r="K173" i="17"/>
  <c r="J173" i="17"/>
  <c r="K170" i="17"/>
  <c r="J170" i="17"/>
  <c r="K167" i="17"/>
  <c r="J167" i="17"/>
  <c r="K162" i="17"/>
  <c r="J162" i="17"/>
  <c r="K159" i="17"/>
  <c r="J159" i="17"/>
  <c r="K156" i="17"/>
  <c r="J156" i="17"/>
  <c r="K153" i="17"/>
  <c r="J153" i="17"/>
  <c r="K150" i="17"/>
  <c r="J150" i="17"/>
  <c r="K147" i="17"/>
  <c r="J147" i="17"/>
  <c r="K59" i="17"/>
  <c r="J59" i="17"/>
  <c r="K56" i="17"/>
  <c r="J56" i="17"/>
  <c r="K53" i="17"/>
  <c r="J53" i="17"/>
  <c r="K51" i="17"/>
  <c r="J51" i="17"/>
  <c r="K48" i="17"/>
  <c r="J48" i="17"/>
  <c r="K45" i="17"/>
  <c r="J45" i="17"/>
  <c r="K42" i="17"/>
  <c r="J42" i="17"/>
  <c r="K38" i="17"/>
  <c r="J38" i="17"/>
  <c r="K35" i="17"/>
  <c r="J35" i="17"/>
  <c r="K30" i="17"/>
  <c r="J30" i="17"/>
  <c r="K27" i="17"/>
  <c r="J27" i="17"/>
  <c r="K26" i="17"/>
  <c r="J26" i="17"/>
  <c r="K23" i="17"/>
  <c r="J23" i="17"/>
  <c r="K18" i="17"/>
  <c r="J18" i="17"/>
  <c r="K15" i="17"/>
  <c r="J15" i="17"/>
  <c r="K14" i="17"/>
  <c r="J14" i="17"/>
  <c r="K11" i="17"/>
  <c r="J11" i="17"/>
  <c r="K8" i="17"/>
  <c r="J8" i="17"/>
  <c r="K144" i="17"/>
  <c r="J144" i="17"/>
  <c r="K143" i="17"/>
  <c r="J143" i="17"/>
  <c r="K142" i="17"/>
  <c r="J142" i="17"/>
  <c r="K141" i="17"/>
  <c r="J141" i="17"/>
  <c r="K140" i="17"/>
  <c r="J140" i="17"/>
  <c r="K139" i="17"/>
  <c r="J139" i="17"/>
  <c r="K138" i="17"/>
  <c r="J138" i="17"/>
  <c r="K137" i="17"/>
  <c r="J137" i="17"/>
  <c r="K136" i="17"/>
  <c r="J136" i="17"/>
  <c r="K135" i="17"/>
  <c r="J135" i="17"/>
  <c r="K134" i="17"/>
  <c r="J134" i="17"/>
  <c r="K133" i="17"/>
  <c r="J133" i="17"/>
  <c r="K132" i="17"/>
  <c r="J132" i="17"/>
  <c r="K131" i="17"/>
  <c r="J131" i="17"/>
  <c r="K130" i="17"/>
  <c r="J130" i="17"/>
  <c r="K129" i="17"/>
  <c r="J129" i="17"/>
  <c r="K128" i="17"/>
  <c r="J128" i="17"/>
  <c r="K127" i="17"/>
  <c r="J127" i="17"/>
  <c r="K126" i="17"/>
  <c r="J126" i="17"/>
  <c r="K125" i="17"/>
  <c r="J125" i="17"/>
  <c r="K124" i="17"/>
  <c r="J124" i="17"/>
  <c r="K123" i="17"/>
  <c r="J123" i="17"/>
  <c r="K122" i="17"/>
  <c r="J122" i="17"/>
  <c r="K121" i="17"/>
  <c r="J121" i="17"/>
  <c r="K120" i="17"/>
  <c r="J120" i="17"/>
  <c r="K119" i="17"/>
  <c r="J119" i="17"/>
  <c r="K118" i="17"/>
  <c r="J118" i="17"/>
  <c r="K117" i="17"/>
  <c r="J117" i="17"/>
  <c r="K116" i="17"/>
  <c r="J116" i="17"/>
  <c r="K115" i="17"/>
  <c r="J115" i="17"/>
  <c r="K114" i="17"/>
  <c r="J114" i="17"/>
  <c r="K113" i="17"/>
  <c r="J113" i="17"/>
  <c r="K112" i="17"/>
  <c r="J112" i="17"/>
  <c r="K111" i="17"/>
  <c r="J111" i="17"/>
  <c r="K110" i="17"/>
  <c r="J110" i="17"/>
  <c r="K109" i="17"/>
  <c r="J109" i="17"/>
  <c r="K108" i="17"/>
  <c r="J108" i="17"/>
  <c r="K107" i="17"/>
  <c r="J107" i="17"/>
  <c r="K106" i="17"/>
  <c r="J106" i="17"/>
  <c r="K105" i="17"/>
  <c r="J105" i="17"/>
  <c r="K104" i="17"/>
  <c r="J104" i="17"/>
  <c r="K103" i="17"/>
  <c r="J103" i="17"/>
  <c r="K102" i="17"/>
  <c r="J102" i="17"/>
  <c r="K101" i="17"/>
  <c r="J101" i="17"/>
  <c r="K100" i="17"/>
  <c r="J100" i="17"/>
  <c r="K99" i="17"/>
  <c r="J99" i="17"/>
  <c r="K98" i="17"/>
  <c r="J98" i="17"/>
  <c r="K97" i="17"/>
  <c r="J97" i="17"/>
  <c r="K96" i="17"/>
  <c r="J96" i="17"/>
  <c r="K95" i="17"/>
  <c r="J95" i="17"/>
  <c r="K94" i="17"/>
  <c r="J94" i="17"/>
  <c r="K93" i="17"/>
  <c r="J93" i="17"/>
  <c r="K92" i="17"/>
  <c r="J92" i="17"/>
  <c r="K91" i="17"/>
  <c r="J91" i="17"/>
  <c r="K90" i="17"/>
  <c r="J90" i="17"/>
  <c r="K89" i="17"/>
  <c r="J89" i="17"/>
  <c r="K88" i="17"/>
  <c r="J88" i="17"/>
  <c r="K87" i="17"/>
  <c r="J87" i="17"/>
  <c r="K86" i="17"/>
  <c r="J86" i="17"/>
  <c r="K85" i="17"/>
  <c r="J85" i="17"/>
  <c r="K84" i="17"/>
  <c r="J84" i="17"/>
  <c r="K83" i="17"/>
  <c r="J83" i="17"/>
  <c r="K82" i="17"/>
  <c r="J82" i="17"/>
  <c r="K81" i="17"/>
  <c r="J81" i="17"/>
  <c r="K80" i="17"/>
  <c r="J80" i="17"/>
  <c r="K79" i="17"/>
  <c r="J79" i="17"/>
  <c r="K78" i="17"/>
  <c r="J78" i="17"/>
  <c r="K77" i="17"/>
  <c r="J77" i="17"/>
  <c r="K76" i="17"/>
  <c r="J76" i="17"/>
  <c r="K75" i="17"/>
  <c r="J75" i="17"/>
  <c r="K74" i="17"/>
  <c r="J74" i="17"/>
  <c r="K73" i="17"/>
  <c r="J73" i="17"/>
  <c r="K72" i="17"/>
  <c r="J72" i="17"/>
  <c r="K71" i="17"/>
  <c r="J71" i="17"/>
  <c r="K70" i="17"/>
  <c r="J70" i="17"/>
  <c r="K69" i="17"/>
  <c r="J69" i="17"/>
  <c r="K68" i="17"/>
  <c r="J68" i="17"/>
  <c r="K67" i="17"/>
  <c r="J67" i="17"/>
  <c r="K66" i="17"/>
  <c r="J66" i="17"/>
  <c r="K65" i="17"/>
  <c r="J65" i="17"/>
  <c r="K64" i="17"/>
  <c r="J64" i="17"/>
  <c r="K63" i="17"/>
  <c r="J63" i="17"/>
  <c r="K269" i="17"/>
  <c r="J269" i="17"/>
  <c r="K252" i="17"/>
  <c r="J252" i="17"/>
  <c r="K250" i="17"/>
  <c r="J250" i="17"/>
  <c r="K249" i="17"/>
  <c r="J249" i="17"/>
  <c r="K243" i="17"/>
  <c r="J243" i="17"/>
  <c r="K240" i="17"/>
  <c r="J240" i="17"/>
  <c r="K237" i="17"/>
  <c r="J237" i="17"/>
  <c r="K234" i="17"/>
  <c r="J234" i="17"/>
  <c r="K231" i="17"/>
  <c r="J231" i="17"/>
  <c r="K228" i="17"/>
  <c r="J228" i="17"/>
  <c r="K225" i="17"/>
  <c r="J225" i="17"/>
  <c r="K222" i="17"/>
  <c r="J222" i="17"/>
  <c r="K219" i="17"/>
  <c r="J219" i="17"/>
  <c r="K216" i="17"/>
  <c r="J216" i="17"/>
  <c r="K213" i="17"/>
  <c r="J213" i="17"/>
  <c r="K210" i="17"/>
  <c r="J210" i="17"/>
  <c r="K208" i="17"/>
  <c r="J208" i="17"/>
  <c r="K205" i="17"/>
  <c r="J205" i="17"/>
  <c r="K202" i="17"/>
  <c r="J202" i="17"/>
  <c r="K199" i="17"/>
  <c r="J199" i="17"/>
  <c r="K196" i="17"/>
  <c r="J196" i="17"/>
  <c r="K193" i="17"/>
  <c r="J193" i="17"/>
  <c r="K188" i="17"/>
  <c r="J188" i="17"/>
  <c r="K183" i="17"/>
  <c r="J183" i="17"/>
  <c r="K178" i="17"/>
  <c r="J178" i="17"/>
  <c r="K175" i="17"/>
  <c r="J175" i="17"/>
  <c r="K172" i="17"/>
  <c r="J172" i="17"/>
  <c r="K169" i="17"/>
  <c r="J169" i="17"/>
  <c r="K166" i="17"/>
  <c r="J166" i="17"/>
  <c r="K164" i="17"/>
  <c r="J164" i="17"/>
  <c r="K161" i="17"/>
  <c r="J161" i="17"/>
  <c r="K158" i="17"/>
  <c r="J158" i="17"/>
  <c r="K155" i="17"/>
  <c r="J155" i="17"/>
  <c r="K152" i="17"/>
  <c r="J152" i="17"/>
  <c r="K149" i="17"/>
  <c r="J149" i="17"/>
  <c r="K146" i="17"/>
  <c r="J146" i="17"/>
  <c r="K62" i="17"/>
  <c r="J62" i="17"/>
  <c r="K60" i="17"/>
  <c r="J60" i="17"/>
  <c r="K57" i="17"/>
  <c r="J57" i="17"/>
  <c r="K54" i="17"/>
  <c r="J54" i="17"/>
  <c r="K50" i="17"/>
  <c r="J50" i="17"/>
  <c r="K49" i="17"/>
  <c r="J49" i="17"/>
  <c r="K46" i="17"/>
  <c r="J46" i="17"/>
  <c r="K41" i="17"/>
  <c r="J41" i="17"/>
  <c r="K36" i="17"/>
  <c r="J36" i="17"/>
  <c r="K33" i="17"/>
  <c r="J33" i="17"/>
  <c r="K32" i="17"/>
  <c r="J32" i="17"/>
  <c r="K29" i="17"/>
  <c r="J29" i="17"/>
  <c r="K24" i="17"/>
  <c r="J24" i="17"/>
  <c r="K21" i="17"/>
  <c r="J21" i="17"/>
  <c r="K20" i="17"/>
  <c r="J20" i="17"/>
  <c r="K17" i="17"/>
  <c r="J17" i="17"/>
  <c r="K12" i="17"/>
  <c r="J12" i="17"/>
  <c r="J10" i="17"/>
  <c r="K9" i="17"/>
  <c r="J9" i="17"/>
  <c r="K7" i="17"/>
  <c r="J4" i="17"/>
  <c r="K303" i="17"/>
  <c r="J303" i="17"/>
  <c r="K302" i="17"/>
  <c r="J302" i="17"/>
  <c r="K301" i="17"/>
  <c r="J301" i="17"/>
  <c r="K299" i="17"/>
  <c r="J299" i="17"/>
  <c r="K297" i="17"/>
  <c r="J297" i="17"/>
  <c r="K295" i="17"/>
  <c r="J295" i="17"/>
  <c r="K294" i="17"/>
  <c r="J294" i="17"/>
  <c r="K293" i="17"/>
  <c r="J293" i="17"/>
  <c r="K291" i="17"/>
  <c r="J291" i="17"/>
  <c r="K289" i="17"/>
  <c r="J289" i="17"/>
  <c r="K287" i="17"/>
  <c r="J287" i="17"/>
  <c r="K285" i="17"/>
  <c r="J285" i="17"/>
  <c r="K283" i="17"/>
  <c r="J283" i="17"/>
  <c r="K280" i="17"/>
  <c r="J280" i="17"/>
  <c r="K276" i="17"/>
  <c r="J276" i="17"/>
  <c r="K274" i="17"/>
  <c r="J274" i="17"/>
  <c r="K273" i="17"/>
  <c r="J273" i="17"/>
  <c r="K271" i="17"/>
  <c r="J271" i="17"/>
  <c r="K268" i="17"/>
  <c r="J268" i="17"/>
  <c r="K261" i="17"/>
  <c r="J261" i="17"/>
  <c r="K259" i="17"/>
  <c r="J259" i="17"/>
  <c r="K257" i="17"/>
  <c r="J257" i="17"/>
  <c r="K255" i="17"/>
  <c r="J255" i="17"/>
  <c r="K253" i="17"/>
  <c r="J253" i="17"/>
  <c r="K247" i="17"/>
  <c r="J247" i="17"/>
  <c r="K244" i="17"/>
  <c r="J244" i="17"/>
  <c r="K241" i="17"/>
  <c r="J241" i="17"/>
  <c r="K238" i="17"/>
  <c r="J238" i="17"/>
  <c r="K235" i="17"/>
  <c r="J235" i="17"/>
  <c r="K232" i="17"/>
  <c r="J232" i="17"/>
  <c r="K229" i="17"/>
  <c r="J229" i="17"/>
  <c r="K224" i="17"/>
  <c r="J224" i="17"/>
  <c r="K221" i="17"/>
  <c r="J221" i="17"/>
  <c r="K218" i="17"/>
  <c r="J218" i="17"/>
  <c r="K217" i="17"/>
  <c r="J217" i="17"/>
  <c r="K214" i="17"/>
  <c r="J214" i="17"/>
  <c r="K211" i="17"/>
  <c r="J211" i="17"/>
  <c r="K206" i="17"/>
  <c r="J206" i="17"/>
  <c r="K203" i="17"/>
  <c r="J203" i="17"/>
  <c r="K200" i="17"/>
  <c r="J200" i="17"/>
  <c r="K197" i="17"/>
  <c r="J197" i="17"/>
  <c r="K194" i="17"/>
  <c r="J194" i="17"/>
  <c r="K191" i="17"/>
  <c r="J191" i="17"/>
  <c r="K189" i="17"/>
  <c r="J189" i="17"/>
  <c r="K184" i="17"/>
  <c r="J184" i="17"/>
  <c r="K181" i="17"/>
  <c r="J181" i="17"/>
  <c r="K180" i="17"/>
  <c r="J180" i="17"/>
  <c r="K177" i="17"/>
  <c r="J177" i="17"/>
  <c r="K174" i="17"/>
  <c r="J174" i="17"/>
  <c r="K171" i="17"/>
  <c r="J171" i="17"/>
  <c r="K168" i="17"/>
  <c r="J168" i="17"/>
  <c r="K165" i="17"/>
  <c r="J165" i="17"/>
  <c r="K163" i="17"/>
  <c r="J163" i="17"/>
  <c r="K160" i="17"/>
  <c r="J160" i="17"/>
  <c r="K157" i="17"/>
  <c r="J157" i="17"/>
  <c r="K154" i="17"/>
  <c r="J154" i="17"/>
  <c r="K151" i="17"/>
  <c r="J151" i="17"/>
  <c r="K148" i="17"/>
  <c r="J148" i="17"/>
  <c r="K145" i="17"/>
  <c r="J145" i="17"/>
  <c r="K61" i="17"/>
  <c r="J61" i="17"/>
  <c r="K58" i="17"/>
  <c r="J58" i="17"/>
  <c r="K55" i="17"/>
  <c r="J55" i="17"/>
  <c r="K52" i="17"/>
  <c r="J52" i="17"/>
  <c r="K47" i="17"/>
  <c r="J47" i="17"/>
  <c r="K44" i="17"/>
  <c r="J44" i="17"/>
  <c r="K43" i="17"/>
  <c r="J43" i="17"/>
  <c r="K40" i="17"/>
  <c r="J40" i="17"/>
  <c r="K39" i="17"/>
  <c r="J39" i="17"/>
  <c r="K37" i="17"/>
  <c r="J37" i="17"/>
  <c r="K34" i="17"/>
  <c r="J34" i="17"/>
  <c r="K31" i="17"/>
  <c r="J31" i="17"/>
  <c r="K28" i="17"/>
  <c r="J28" i="17"/>
  <c r="K25" i="17"/>
  <c r="J25" i="17"/>
  <c r="K22" i="17"/>
  <c r="J22" i="17"/>
  <c r="K19" i="17"/>
  <c r="J19" i="17"/>
  <c r="K16" i="17"/>
  <c r="J16" i="17"/>
  <c r="K13" i="17"/>
  <c r="J13" i="17"/>
  <c r="K10" i="17"/>
  <c r="J7" i="17"/>
  <c r="K6" i="17"/>
  <c r="J6" i="17"/>
  <c r="K5" i="17"/>
  <c r="J5" i="17"/>
  <c r="K6" i="12"/>
  <c r="K11" i="12"/>
  <c r="K16" i="12"/>
  <c r="K20" i="12"/>
  <c r="K26" i="12"/>
  <c r="K31" i="12"/>
  <c r="K35" i="12"/>
  <c r="K37" i="12"/>
  <c r="K40" i="12"/>
  <c r="K44" i="12"/>
  <c r="K47" i="12"/>
  <c r="K50" i="12"/>
  <c r="K5" i="12"/>
  <c r="K7" i="12"/>
  <c r="K9" i="12"/>
  <c r="K14" i="12"/>
  <c r="K15" i="12"/>
  <c r="K17" i="12"/>
  <c r="K18" i="12"/>
  <c r="K21" i="12"/>
  <c r="K23" i="12"/>
  <c r="K27" i="12"/>
  <c r="K29" i="12"/>
  <c r="K33" i="12"/>
  <c r="K36" i="12"/>
  <c r="K38" i="12"/>
  <c r="K42" i="12"/>
  <c r="K45" i="12"/>
  <c r="K49" i="12"/>
  <c r="K53" i="12"/>
  <c r="M28" i="12" l="1"/>
  <c r="M41" i="12"/>
  <c r="M52" i="12"/>
  <c r="L28" i="12" a="1"/>
  <c r="L52" i="12" a="1"/>
  <c r="B32" i="27"/>
  <c r="L104" i="24"/>
  <c r="L107" i="24"/>
  <c r="L111" i="24"/>
  <c r="L113" i="24"/>
  <c r="L116" i="24"/>
  <c r="L118" i="24"/>
  <c r="L121" i="24"/>
  <c r="C5" i="26"/>
  <c r="F5" i="26" s="1"/>
  <c r="L105" i="24"/>
  <c r="L108" i="24"/>
  <c r="L110" i="24"/>
  <c r="L112" i="24"/>
  <c r="L115" i="24"/>
  <c r="L119" i="24"/>
  <c r="L120" i="24"/>
  <c r="L106" i="24"/>
  <c r="L109" i="24"/>
  <c r="L114" i="24"/>
  <c r="L117" i="24"/>
  <c r="M22" i="12"/>
  <c r="L22" i="12" a="1"/>
  <c r="L24" i="12" a="1"/>
  <c r="M24" i="12"/>
  <c r="M30" i="12"/>
  <c r="L30" i="12" a="1"/>
  <c r="M51" i="12"/>
  <c r="L51" i="12" a="1"/>
  <c r="L32" i="24"/>
  <c r="L37" i="24"/>
  <c r="L62" i="24"/>
  <c r="L72" i="24"/>
  <c r="L77" i="24"/>
  <c r="C7" i="26"/>
  <c r="F7" i="26" s="1"/>
  <c r="L7" i="24"/>
  <c r="L55" i="24"/>
  <c r="L89" i="24"/>
  <c r="L95" i="24"/>
  <c r="L12" i="24"/>
  <c r="L19" i="24"/>
  <c r="L25" i="24"/>
  <c r="L42" i="24"/>
  <c r="L49" i="24"/>
  <c r="L67" i="24"/>
  <c r="L82" i="24"/>
  <c r="L102" i="24"/>
  <c r="M39" i="12"/>
  <c r="L39" i="12" a="1"/>
  <c r="L5" i="24"/>
  <c r="L16" i="24"/>
  <c r="L20" i="24"/>
  <c r="L23" i="24"/>
  <c r="L35" i="24"/>
  <c r="L38" i="24"/>
  <c r="L50" i="24"/>
  <c r="L53" i="24"/>
  <c r="L61" i="24"/>
  <c r="L63" i="24"/>
  <c r="L78" i="24"/>
  <c r="L88" i="24"/>
  <c r="L93" i="24"/>
  <c r="L98" i="24"/>
  <c r="C4" i="26"/>
  <c r="F4" i="26" s="1"/>
  <c r="L8" i="24"/>
  <c r="L10" i="24"/>
  <c r="L18" i="24"/>
  <c r="L28" i="24"/>
  <c r="L33" i="24"/>
  <c r="L46" i="24"/>
  <c r="L48" i="24"/>
  <c r="L58" i="24"/>
  <c r="L68" i="24"/>
  <c r="L83" i="24"/>
  <c r="L86" i="24"/>
  <c r="L103" i="24"/>
  <c r="L13" i="24"/>
  <c r="L26" i="24"/>
  <c r="L30" i="24"/>
  <c r="L40" i="24"/>
  <c r="L43" i="24"/>
  <c r="L56" i="24"/>
  <c r="L65" i="24"/>
  <c r="L70" i="24"/>
  <c r="L73" i="24"/>
  <c r="L76" i="24"/>
  <c r="L80" i="24"/>
  <c r="L90" i="24"/>
  <c r="L96" i="24"/>
  <c r="L100" i="24"/>
  <c r="B16" i="27"/>
  <c r="I4" i="25"/>
  <c r="B6" i="26"/>
  <c r="G6" i="27"/>
  <c r="D7" i="27"/>
  <c r="E5" i="27"/>
  <c r="L10" i="12" a="1"/>
  <c r="M10" i="12"/>
  <c r="G8" i="27"/>
  <c r="G5" i="27"/>
  <c r="G7" i="27"/>
  <c r="D14" i="19"/>
  <c r="C15" i="19"/>
  <c r="D15" i="19" s="1"/>
  <c r="D16" i="19"/>
  <c r="D17" i="19"/>
  <c r="K4" i="17"/>
  <c r="M6" i="12"/>
  <c r="L6" i="12" a="1"/>
  <c r="M11" i="12"/>
  <c r="L11" i="12" a="1"/>
  <c r="M16" i="12"/>
  <c r="L16" i="12" a="1"/>
  <c r="M20" i="12"/>
  <c r="L20" i="12" a="1"/>
  <c r="M26" i="12"/>
  <c r="L26" i="12" a="1"/>
  <c r="M31" i="12"/>
  <c r="L31" i="12" a="1"/>
  <c r="M35" i="12"/>
  <c r="L35" i="12" a="1"/>
  <c r="M37" i="12"/>
  <c r="L37" i="12" a="1"/>
  <c r="M40" i="12"/>
  <c r="L40" i="12" a="1"/>
  <c r="M44" i="12"/>
  <c r="L44" i="12" a="1"/>
  <c r="M47" i="12"/>
  <c r="L47" i="12" a="1"/>
  <c r="M50" i="12"/>
  <c r="L50" i="12" a="1"/>
  <c r="M5" i="12"/>
  <c r="L5" i="12" a="1"/>
  <c r="M7" i="12"/>
  <c r="L7" i="12" a="1"/>
  <c r="M9" i="12"/>
  <c r="L9" i="12" a="1"/>
  <c r="L14" i="12" a="1"/>
  <c r="M14" i="12"/>
  <c r="M15" i="12"/>
  <c r="L15" i="12" a="1"/>
  <c r="L17" i="12" a="1"/>
  <c r="M17" i="12"/>
  <c r="M18" i="12"/>
  <c r="L18" i="12" a="1"/>
  <c r="M21" i="12"/>
  <c r="L21" i="12" a="1"/>
  <c r="M23" i="12"/>
  <c r="L23" i="12" a="1"/>
  <c r="M27" i="12"/>
  <c r="L27" i="12" a="1"/>
  <c r="M29" i="12"/>
  <c r="L29" i="12" a="1"/>
  <c r="M33" i="12"/>
  <c r="L33" i="12" a="1"/>
  <c r="M36" i="12"/>
  <c r="L36" i="12" a="1"/>
  <c r="M38" i="12"/>
  <c r="L38" i="12" a="1"/>
  <c r="M42" i="12"/>
  <c r="L42" i="12" a="1"/>
  <c r="M45" i="12"/>
  <c r="L45" i="12" a="1"/>
  <c r="M49" i="12"/>
  <c r="L49" i="12" a="1"/>
  <c r="M53" i="12"/>
  <c r="L53" i="12" a="1"/>
  <c r="C24" i="27" l="1"/>
  <c r="C26" i="27"/>
  <c r="C27" i="27"/>
  <c r="C29" i="27"/>
  <c r="C25" i="27"/>
  <c r="C28" i="27"/>
  <c r="C30" i="27"/>
  <c r="C31" i="27"/>
  <c r="E7" i="27"/>
  <c r="L9" i="24"/>
  <c r="L15" i="24"/>
  <c r="L22" i="24"/>
  <c r="L36" i="24"/>
  <c r="L44" i="24"/>
  <c r="L45" i="24"/>
  <c r="L52" i="24"/>
  <c r="L81" i="24"/>
  <c r="L87" i="24"/>
  <c r="L99" i="24"/>
  <c r="L11" i="24"/>
  <c r="L14" i="24"/>
  <c r="L17" i="24"/>
  <c r="L27" i="24"/>
  <c r="L29" i="24"/>
  <c r="L39" i="24"/>
  <c r="L41" i="24"/>
  <c r="L47" i="24"/>
  <c r="L51" i="24"/>
  <c r="L59" i="24"/>
  <c r="L60" i="24"/>
  <c r="L64" i="24"/>
  <c r="L66" i="24"/>
  <c r="L69" i="24"/>
  <c r="L79" i="24"/>
  <c r="L84" i="24"/>
  <c r="L85" i="24"/>
  <c r="L91" i="24"/>
  <c r="L97" i="24"/>
  <c r="C6" i="26"/>
  <c r="F6" i="26" s="1"/>
  <c r="L4" i="24"/>
  <c r="L6" i="24"/>
  <c r="L21" i="24"/>
  <c r="L24" i="24"/>
  <c r="L31" i="24"/>
  <c r="L34" i="24"/>
  <c r="L54" i="24"/>
  <c r="L57" i="24"/>
  <c r="L71" i="24"/>
  <c r="L74" i="24"/>
  <c r="L75" i="24"/>
  <c r="L92" i="24"/>
  <c r="L94" i="24"/>
  <c r="L101" i="24"/>
  <c r="C23" i="27"/>
  <c r="D13" i="19"/>
  <c r="D18" i="19" s="1"/>
  <c r="C18" i="19"/>
  <c r="C8" i="19" s="1"/>
  <c r="C8" i="13"/>
  <c r="C5" i="13"/>
  <c r="C6" i="13"/>
  <c r="C7" i="13"/>
  <c r="D8" i="19" l="1"/>
  <c r="D7" i="19"/>
  <c r="C9" i="13"/>
  <c r="D7" i="13" l="1"/>
  <c r="D6" i="13"/>
  <c r="D8" i="13"/>
  <c r="D5" i="13"/>
  <c r="D9" i="1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<sst xmlns="http://schemas.openxmlformats.org/spreadsheetml/2006/main" count="4605" uniqueCount="1363">
  <si>
    <t>Guatemala</t>
  </si>
  <si>
    <t>Petén</t>
  </si>
  <si>
    <t>Huehuetenango</t>
  </si>
  <si>
    <t>San Marcos</t>
  </si>
  <si>
    <t>Sacatepéquez</t>
  </si>
  <si>
    <t>Escuintla</t>
  </si>
  <si>
    <t>Quiché</t>
  </si>
  <si>
    <t>Izabal</t>
  </si>
  <si>
    <t>Quetzaltenango</t>
  </si>
  <si>
    <t>Alta Verapaz</t>
  </si>
  <si>
    <t>Rosa Elena Díaz</t>
  </si>
  <si>
    <t>Claudia Marcela Torres</t>
  </si>
  <si>
    <t>Juan Carlos Méndez</t>
  </si>
  <si>
    <t>María Elena López</t>
  </si>
  <si>
    <t>Roberto Alfredo Ruiz</t>
  </si>
  <si>
    <t>Ana Sofía Herrera</t>
  </si>
  <si>
    <t>Carlos Eduardo Vargas</t>
  </si>
  <si>
    <t>Laura Gabriela Soto</t>
  </si>
  <si>
    <t>Francisco Javier Morales</t>
  </si>
  <si>
    <t>Miguel Ángel Torres</t>
  </si>
  <si>
    <t>Patricia Alejandra Cruz</t>
  </si>
  <si>
    <t>José Daniel Ramírez</t>
  </si>
  <si>
    <t>Carmen Julia Vargas</t>
  </si>
  <si>
    <t>Eduardo Antonio López</t>
  </si>
  <si>
    <t>Silvia Fernanda Herrera</t>
  </si>
  <si>
    <t>Ricardo Manuel Soto</t>
  </si>
  <si>
    <t>Andrea Gabriela Méndez</t>
  </si>
  <si>
    <t>Oscar Alejandro Ruiz</t>
  </si>
  <si>
    <t>Gloria Estela Castillo</t>
  </si>
  <si>
    <t>Víctor Hugo Morales</t>
  </si>
  <si>
    <t>Teresa de Jesús López</t>
  </si>
  <si>
    <t>Luis Fernando Vargas</t>
  </si>
  <si>
    <t>Marta Eugenia Cruz</t>
  </si>
  <si>
    <t>Pedro Antonio Castillo</t>
  </si>
  <si>
    <t>Isabel Cristina Soto</t>
  </si>
  <si>
    <t>Alejandro José Herrera</t>
  </si>
  <si>
    <t>Diana Marcela Ramírez</t>
  </si>
  <si>
    <t>Julio César Morales</t>
  </si>
  <si>
    <t>Natalia Fernanda López</t>
  </si>
  <si>
    <t>Sergio Alberto Méndez</t>
  </si>
  <si>
    <t>Paola Andrea Ruiz</t>
  </si>
  <si>
    <t>Roberto Carlos Vargas</t>
  </si>
  <si>
    <t>Francisco Javier Díaz</t>
  </si>
  <si>
    <t>Ana Lucía Herrera</t>
  </si>
  <si>
    <t>Miguel Eduardo Castillo</t>
  </si>
  <si>
    <t>Karen Elizabeth Soto</t>
  </si>
  <si>
    <t>David Alejandro López</t>
  </si>
  <si>
    <t>Verónica Patricia Morales</t>
  </si>
  <si>
    <t>Jorge Luis Ramírez</t>
  </si>
  <si>
    <t>Sandra Beatriz Cruz</t>
  </si>
  <si>
    <t>Raúl Ernesto Vargas</t>
  </si>
  <si>
    <t>Gabriela Isabel Méndez</t>
  </si>
  <si>
    <t>Héctor Manuel Ruiz</t>
  </si>
  <si>
    <t>Luisa Fernanda Herrera</t>
  </si>
  <si>
    <t>Andrés Felipe Soto</t>
  </si>
  <si>
    <t>Mónica del Carmen López</t>
  </si>
  <si>
    <t>José Roberto Castillo</t>
  </si>
  <si>
    <t>Karla Patricia Torres</t>
  </si>
  <si>
    <t>Ricardo Antonio Morales</t>
  </si>
  <si>
    <t>Daniela Sofía Ramírez</t>
  </si>
  <si>
    <t>Oscar Eduardo Cruz</t>
  </si>
  <si>
    <t>Paula Andrea Vargas</t>
  </si>
  <si>
    <t>Fernando José López</t>
  </si>
  <si>
    <t>Cristina Elena Soto</t>
  </si>
  <si>
    <t>Luis Miguel Herrera</t>
  </si>
  <si>
    <t>Fecha</t>
  </si>
  <si>
    <t>Tipo Alerta</t>
  </si>
  <si>
    <t>Normal</t>
  </si>
  <si>
    <t>Elena María Castillo</t>
  </si>
  <si>
    <t>Jorge Enrique Vargas</t>
  </si>
  <si>
    <t>Beatriz del Carmen López</t>
  </si>
  <si>
    <t>Raúl Antonio Méndez</t>
  </si>
  <si>
    <t>Lucía Fernanda Soto</t>
  </si>
  <si>
    <t>Héctor Daniel Cruz</t>
  </si>
  <si>
    <t>Mónica Isabel Ramírez</t>
  </si>
  <si>
    <t>Carlos Alberto Herrera</t>
  </si>
  <si>
    <t>Ana Patricia Morales</t>
  </si>
  <si>
    <t>Fernando José Torres</t>
  </si>
  <si>
    <t>Justificación</t>
  </si>
  <si>
    <t>Corredor</t>
  </si>
  <si>
    <t>Observación</t>
  </si>
  <si>
    <t>EE.UU.</t>
  </si>
  <si>
    <t>México</t>
  </si>
  <si>
    <t>España</t>
  </si>
  <si>
    <t>Otros</t>
  </si>
  <si>
    <t>Indicador</t>
  </si>
  <si>
    <t>Peso</t>
  </si>
  <si>
    <t>Volumen Relativo del Corredor</t>
  </si>
  <si>
    <t>Frecuencia Atípica / Múltiples Remitentes</t>
  </si>
  <si>
    <t>Puntaje</t>
  </si>
  <si>
    <t>% del Total</t>
  </si>
  <si>
    <t>Nivel</t>
  </si>
  <si>
    <t>Nivel de Riesgo</t>
  </si>
  <si>
    <t>Verde</t>
  </si>
  <si>
    <t>Amarillo</t>
  </si>
  <si>
    <t>Naranja</t>
  </si>
  <si>
    <t>Rojo</t>
  </si>
  <si>
    <t>Mensual</t>
  </si>
  <si>
    <t>Valor</t>
  </si>
  <si>
    <t>Observación Principal</t>
  </si>
  <si>
    <t>Rango del Índice</t>
  </si>
  <si>
    <t>Semáforo</t>
  </si>
  <si>
    <t>Estados Unidos</t>
  </si>
  <si>
    <t>Tijuana</t>
  </si>
  <si>
    <t>Alta frecuencia</t>
  </si>
  <si>
    <t>Miami</t>
  </si>
  <si>
    <t>Madrid</t>
  </si>
  <si>
    <t>Guadalajara</t>
  </si>
  <si>
    <t>Múltiples remitentes</t>
  </si>
  <si>
    <t>New York</t>
  </si>
  <si>
    <t>Monterrey</t>
  </si>
  <si>
    <t>Alta frecuencia + monto umbral</t>
  </si>
  <si>
    <t>Houston</t>
  </si>
  <si>
    <t>Barcelona</t>
  </si>
  <si>
    <t>Variación de remitente</t>
  </si>
  <si>
    <t>Puebla</t>
  </si>
  <si>
    <t>Chicago</t>
  </si>
  <si>
    <t>Posición</t>
  </si>
  <si>
    <t>% Alertas</t>
  </si>
  <si>
    <t>AG 118-2002 / Dec. 67-2001</t>
  </si>
  <si>
    <t>Toda transacción en efectivo igual o superior a Q50,000 (o su equivalente en moneda extranjera) debe ser reportada obligatoriamente a la IVE, independientemente del perfil de riesgo del cliente.</t>
  </si>
  <si>
    <t>Umbral de Reporte (Q50,000)</t>
  </si>
  <si>
    <t>ABC LD/FT / AG 118-2002</t>
  </si>
  <si>
    <t>Operación que no corresponde al perfil económico declarado del cliente según su actividad, ingresos y comportamiento histórico. No necesariamente implica delito, pero activa monitoreo reforzado.</t>
  </si>
  <si>
    <t>Operación Inusual</t>
  </si>
  <si>
    <t>Dec. 67-2001 / AG 118-2002</t>
  </si>
  <si>
    <t>Entidades sujetas a la Ley ALD y la JM-108-2010: bancos, cooperativas, casas de cambio, remesadoras, notarios, contadores, agentes inmobiliarios, entre otros. El banco comercial ficticio de este caso es persona obligada.</t>
  </si>
  <si>
    <t>Personas Obligadas</t>
  </si>
  <si>
    <t>ABC LD/FT / R.1 GAFI</t>
  </si>
  <si>
    <t>Principio rector del sistema ALD/FT. Las personas obligadas deben asignar recursos y controles de forma proporcional al nivel de riesgo identificado de cada cliente, canal y zona geográfica.</t>
  </si>
  <si>
    <t>Enfoque Basado en Riesgo (EBR)</t>
  </si>
  <si>
    <t>ABC LD/FT / JM-108-2010</t>
  </si>
  <si>
    <t>Proceso de identificación, verificación y monitoreo continuo del cliente. Incluye tres niveles proporcionales al riesgo: simplificada (riesgo bajo), estándar (riesgo medio) y reforzada (riesgo alto/crítico).</t>
  </si>
  <si>
    <t>Debida Diligencia del Cliente (DDC)</t>
  </si>
  <si>
    <t>ABC LD/FT, SIB Guatemala</t>
  </si>
  <si>
    <t>Individuo que desempeña o ha desempeñado funciones públicas prominentes: presidentes, ministros, diputados, alcaldes, magistrados, directores de entidades autónomas, militares de alto rango; así como sus familiares directos y colaboradores cercanos.</t>
  </si>
  <si>
    <t>Persona Expuesta Políticamente (PEP)</t>
  </si>
  <si>
    <t xml:space="preserve">  CONCEPTOS CLAVE (ABC SIB)</t>
  </si>
  <si>
    <t>GAFILAT (4ª Ronda)</t>
  </si>
  <si>
    <t>La evaluación de GAFILAT identificó tres brechas principales relevantes para esta matriz: (1) acceso deficiente a info de beneficiario final de PJ, (2) debilidades en DDC para no residentes, (3) subestimación del riesgo FT en personas obligadas.</t>
  </si>
  <si>
    <t>Informe de Evaluación Mutua Guatemala 2016</t>
  </si>
  <si>
    <t>GAFI (rev. 2023)</t>
  </si>
  <si>
    <t>Países de mayor riesgo. Exige DDC reforzada para clientes vinculados a países identificados por el GAFI como jurisdicciones de mayor riesgo (listas negra y gris).</t>
  </si>
  <si>
    <t>Recomendación 19 GAFI</t>
  </si>
  <si>
    <t>Corresponsalía bancaria. Las instituciones deben aplicar DDC reforzada en relaciones de corresponsalía transfronteriza y evaluar los controles ALD/FT del banco corresponsal.</t>
  </si>
  <si>
    <t>Recomendación 13 GAFI</t>
  </si>
  <si>
    <t>Personas Expuestas Políticamente (PEPs). Exige DDC reforzada, aprobación de la alta gerencia y monitoreo intensificado para clientes PEP nacionales, extranjeros y sus familiares/colaboradores cercanos.</t>
  </si>
  <si>
    <t>Recomendación 12 GAFI</t>
  </si>
  <si>
    <t>Debida diligencia del cliente (DDC). Prohíbe cuentas anónimas; exige identificar y verificar al cliente y al beneficiario final; requiere monitoreo continuo de la relación comercial.</t>
  </si>
  <si>
    <t>Recomendación 10 GAFI</t>
  </si>
  <si>
    <t>Evaluación de riesgos y aplicación de un enfoque basado en riesgo (EBR). Los países e instituciones financieras deben identificar, evaluar y mitigar sus riesgos de LD/FT de forma proporcional. Fundamento de toda la matriz.</t>
  </si>
  <si>
    <t>Recomendación 1 GAFI</t>
  </si>
  <si>
    <t xml:space="preserve">  ESTÁNDARES INTERNACIONALES — GAFI / GAFILAT</t>
  </si>
  <si>
    <t>Congreso / Organismo Ejecutivo</t>
  </si>
  <si>
    <t>Ley para Prevenir y Reprimir el Financiamiento del Terrorismo y su Reglamento. Relevante para el tratamiento de PEPs y operaciones con países de alto riesgo FT.</t>
  </si>
  <si>
    <t>Decreto 58-2005 + AG 86-2006</t>
  </si>
  <si>
    <t>Junta Monetaria / SIB</t>
  </si>
  <si>
    <t>Reglamento de medidas y requisitos mínimos para la prevención LD/FT en el sistema financiero supervisado. Establece DDC simplificada, estándar y reforzada; el Oficial de Cumplimiento; y controles internos.</t>
  </si>
  <si>
    <t>Resolución JM-108-2010</t>
  </si>
  <si>
    <t>Organismo Ejecutivo</t>
  </si>
  <si>
    <t>Reglamento de la Ley Contra el Lavado de Dinero. Define personas obligadas, umbral de reporte (Q50,000 en efectivo), estructura de la IVE, y obligaciones de registros.</t>
  </si>
  <si>
    <t>Acuerdo Gubernativo 118-2002</t>
  </si>
  <si>
    <t>Congreso de la República</t>
  </si>
  <si>
    <t>Ley Contra el Lavado de Dinero u Otros Activos. Tipifica el delito, define responsables y penas, crea la IVE como Unidad de Inteligencia Financiera.</t>
  </si>
  <si>
    <t>Decreto 67-2001</t>
  </si>
  <si>
    <t xml:space="preserve">  NORMATIVA GUATEMALTECA</t>
  </si>
  <si>
    <t>Fuente</t>
  </si>
  <si>
    <t>Descripción</t>
  </si>
  <si>
    <t>Instrumento / Concepto</t>
  </si>
  <si>
    <t>Marco Normativo de Referencia</t>
  </si>
  <si>
    <t>Fuente: AG 118-2002 (perfil cliente) | Nota: Sin historial no es posible distinguir operación inusual. A mayor antigüedad, mayor conocimiento del perfil económico del cliente.</t>
  </si>
  <si>
    <t>Fuente: R.1 GAFI / ENR Guatemala | Nota: Clasificación basada en presencia de crimen organizado, economía informal y corredores de tráfico (ENR Guatemala / datos INE-UNODC).</t>
  </si>
  <si>
    <t>Sin historial; imposible detectar inusual</t>
  </si>
  <si>
    <t>Menos de 1 año</t>
  </si>
  <si>
    <t>Riesgo alto — corredores crimen organizado</t>
  </si>
  <si>
    <t>Petén, Izabal, Huehuetenango, San Marcos, Alta Verapaz, Quiché</t>
  </si>
  <si>
    <t>Historial parcial; monitoreo estándar</t>
  </si>
  <si>
    <t>Entre 1 y 5 años</t>
  </si>
  <si>
    <t>Riesgo medio — actividad comercial informal</t>
  </si>
  <si>
    <t>Escuintla, Suchitepéquez, Retalhuleu, Baja Verapaz, Totonicapán, Sololá, El Progreso, Jalapa, Jutiapa, Santa Rosa, Zacapa, Chiquimula</t>
  </si>
  <si>
    <t>Historial suficiente para establecer perfil</t>
  </si>
  <si>
    <t>Mayor a 5 años</t>
  </si>
  <si>
    <t>Riesgo bajo — mayor presencia institucional</t>
  </si>
  <si>
    <t>Guatemala, Sacatepéquez, Quetzaltenango, Chimaltenango</t>
  </si>
  <si>
    <t>ANTIGÜEDAD (años)</t>
  </si>
  <si>
    <t>ZONA GEOGRÁFICA</t>
  </si>
  <si>
    <t>Fuente: R.10, R.12 GAFI | Nota: PEP recibe puntaje máximo per R.12 GAFI (DDC reforzada obligatoria). No Residente puntaje alto per brechas IEM 2016.</t>
  </si>
  <si>
    <t>TOTAL</t>
  </si>
  <si>
    <t>Fuente: R.13 GAFI / JM-108-2010 | Nota: Canal corresponsal requiere DDC reforzada per R.13 GAFI (corresponsalía bancaria). Banca en línea tiene menor trazabilidad presencial.</t>
  </si>
  <si>
    <t>DDC reforzada obligatoria — R.12 GAFI</t>
  </si>
  <si>
    <t>Persona Individual PEP</t>
  </si>
  <si>
    <t>Antigüedad</t>
  </si>
  <si>
    <t>DDC reforzada — R.13 GAFI (corresponsalía)</t>
  </si>
  <si>
    <t>Agente corresponsal</t>
  </si>
  <si>
    <t>Brecha DDC identificada en IEM Guatemala 2016</t>
  </si>
  <si>
    <t>No Residente</t>
  </si>
  <si>
    <t>Zona Geográfica</t>
  </si>
  <si>
    <t>Sin contacto presencial; riesgo moderado</t>
  </si>
  <si>
    <t>Banca en línea</t>
  </si>
  <si>
    <t>Menor transparencia de beneficiario final (IEM 2016)</t>
  </si>
  <si>
    <t>Persona Jurídica</t>
  </si>
  <si>
    <t>Canal de Acceso</t>
  </si>
  <si>
    <t>Mayor control de identidad y documentación</t>
  </si>
  <si>
    <t>Sucursal presencial</t>
  </si>
  <si>
    <t>Perfil conocido, bajo riesgo inherente</t>
  </si>
  <si>
    <t>Persona Individual</t>
  </si>
  <si>
    <t>Tipo de Cliente</t>
  </si>
  <si>
    <t>Factor</t>
  </si>
  <si>
    <t>#</t>
  </si>
  <si>
    <t>CANAL DE ACCESO</t>
  </si>
  <si>
    <t>TIPO DE CLIENTE</t>
  </si>
  <si>
    <t>PESOS PONDERADOS</t>
  </si>
  <si>
    <t>PARÁMETROS DEL MODELO — PESOS, PUNTAJES Y FUNDAMENTO NORMATIVO</t>
  </si>
  <si>
    <t>Nota: El umbral de reporte obligatorio a la IVE es de Q50,000 en efectivo (AG 118-2002 / Dec. 67-2001), independientemente del nivel de riesgo del cliente. Un cliente de nivel BAJO que realice una transacción ≥ Q50,000 activa reporte automático a la IVE.</t>
  </si>
  <si>
    <t>R.12 GAFI (PEPs) / R.19 (países alto riesgo) / JM-108-2010</t>
  </si>
  <si>
    <t>Alta Gerencia / Junta Directiva</t>
  </si>
  <si>
    <t>DDC Reforzada + Aprobación Alta Gerencia</t>
  </si>
  <si>
    <t>CRÍTICO</t>
  </si>
  <si>
    <t>3.25 – 4.00</t>
  </si>
  <si>
    <t>R.10, R.12, R.13 GAFI / JM-108-2010</t>
  </si>
  <si>
    <t>Trimestral</t>
  </si>
  <si>
    <t>Gerencia de Cumplimiento</t>
  </si>
  <si>
    <t>DDC Reforzada</t>
  </si>
  <si>
    <t>ALTO</t>
  </si>
  <si>
    <t>2.50 – 3.24</t>
  </si>
  <si>
    <t>JM-108-2010 / R.10 GAFI</t>
  </si>
  <si>
    <t>Semestral</t>
  </si>
  <si>
    <t>Oficial de Cumplimiento</t>
  </si>
  <si>
    <t>DDC Estándar</t>
  </si>
  <si>
    <t>MEDIO</t>
  </si>
  <si>
    <t>1.50 – 2.49</t>
  </si>
  <si>
    <t>Anual</t>
  </si>
  <si>
    <t>DDC Simplificada</t>
  </si>
  <si>
    <t>BAJO</t>
  </si>
  <si>
    <t>1.00 – 1.49</t>
  </si>
  <si>
    <t>Base Normativa</t>
  </si>
  <si>
    <t>Frecuencia de Monitoreo</t>
  </si>
  <si>
    <t>Aprobación Requerida</t>
  </si>
  <si>
    <t>DDC Aplicable</t>
  </si>
  <si>
    <t>Riesgo</t>
  </si>
  <si>
    <t>Rango de Puntaje</t>
  </si>
  <si>
    <t>Puntaje máximo posible = 4.00  |  Fórmula: (Tipo×0.40) + (Canal×0.25) + (Zona×0.25) + (Antigüedad×0.10)</t>
  </si>
  <si>
    <t>UMBRALES DE RIESGO — NIVELES DE DDC Y ACCIONES REQUERIDAS</t>
  </si>
  <si>
    <t>Agente Corresponsal</t>
  </si>
  <si>
    <t>Global Trade Networks S.A.</t>
  </si>
  <si>
    <t>Embajador Jorge Luis Paz</t>
  </si>
  <si>
    <t>Constructora Pacífico Norte S.A.</t>
  </si>
  <si>
    <t>Fernando Antonio Reyes</t>
  </si>
  <si>
    <t>Cooperativa El Maizal R.L.</t>
  </si>
  <si>
    <t>Licda. Sandra Castillo (Ministra)</t>
  </si>
  <si>
    <t>Inversiones Offshore GT S.A.</t>
  </si>
  <si>
    <t>Totonicapán</t>
  </si>
  <si>
    <t>María del Rosario Fuentes</t>
  </si>
  <si>
    <t>Exportaciones Caribe S.A.</t>
  </si>
  <si>
    <t>Pedro Pablo Alvarado (Alcalde)</t>
  </si>
  <si>
    <t>Banco de los Andes S.A. (Corresponsal)</t>
  </si>
  <si>
    <t>Oscar Daniel Herrera</t>
  </si>
  <si>
    <t>Supermercados Regionales S.A.</t>
  </si>
  <si>
    <t>Fundación Educativa Progreso</t>
  </si>
  <si>
    <t>Sergio Alejandro López</t>
  </si>
  <si>
    <t>Inversiones Inmobiliarias del Sur S.A.</t>
  </si>
  <si>
    <t>Enrique Alberto Vargas</t>
  </si>
  <si>
    <t>Hotel Paraíso del Caribe S.A.</t>
  </si>
  <si>
    <t>Laura Fernanda Castillo</t>
  </si>
  <si>
    <t>Distribuidora Eléctrica S.A.</t>
  </si>
  <si>
    <t>Dra. Patricia Ruiz</t>
  </si>
  <si>
    <t>Francisco Javier Méndez</t>
  </si>
  <si>
    <t>Grupo Logístico del Pacífico S.A.</t>
  </si>
  <si>
    <t>Consultores Financieros GT S.A.</t>
  </si>
  <si>
    <t>Víctor Manuel Cruz</t>
  </si>
  <si>
    <t>Minera del Norte S.A.</t>
  </si>
  <si>
    <t>Chimaltenango</t>
  </si>
  <si>
    <t>Andrea Gabriela Soto</t>
  </si>
  <si>
    <t>Clínica Santa Lucía S.A.</t>
  </si>
  <si>
    <t>Daniel Eduardo Herrera</t>
  </si>
  <si>
    <t>Transportes Rápidos S.A.</t>
  </si>
  <si>
    <t>Karla Patricia López</t>
  </si>
  <si>
    <t>Remesas Express Internacional S.A.</t>
  </si>
  <si>
    <t>José Francisco Ruiz</t>
  </si>
  <si>
    <t>Agroexportadora del Norte S.A.</t>
  </si>
  <si>
    <t>Dra. Elena Morales</t>
  </si>
  <si>
    <t>Miguel Ángel Vargas</t>
  </si>
  <si>
    <t>Inversiones del Sur S.A.</t>
  </si>
  <si>
    <t>Sofía Ramírez Torres</t>
  </si>
  <si>
    <t>Tech Solutions Guatemala S.A.</t>
  </si>
  <si>
    <t>Luis Castillo Mendoza</t>
  </si>
  <si>
    <t>Farmacia El Roble S.A.</t>
  </si>
  <si>
    <t>Roberto Méndez Castillo (Diputado)</t>
  </si>
  <si>
    <t>Importadora Asia GT S.A.</t>
  </si>
  <si>
    <t>Ana López de León</t>
  </si>
  <si>
    <t>Carlos Ramírez Herrera</t>
  </si>
  <si>
    <t>Constructora del Norte S.A.</t>
  </si>
  <si>
    <t>María González Ruiz</t>
  </si>
  <si>
    <t>Juan Pérez López</t>
  </si>
  <si>
    <t>Nivel de
Riesgo</t>
  </si>
  <si>
    <t>Puntaje
Total</t>
  </si>
  <si>
    <t>Pts.
Antig.</t>
  </si>
  <si>
    <t>Pts.
Zona</t>
  </si>
  <si>
    <t>Pts.
Canal</t>
  </si>
  <si>
    <t>Pts.
Tipo</t>
  </si>
  <si>
    <t>Antigüedad
(años)</t>
  </si>
  <si>
    <t>Departamento</t>
  </si>
  <si>
    <t>Nombre del Cliente</t>
  </si>
  <si>
    <t>ID</t>
  </si>
  <si>
    <t>PEPs en canal corresponsal o zonas de alto riesgo con poco historial. Máxima alerta. Aprobación de alta gerencia y reporte a IVE si procede (AG 118-2002).</t>
  </si>
  <si>
    <t>CRÍTICO (rojo)</t>
  </si>
  <si>
    <t>Incluye No Residentes, PJs en zonas de alto riesgo, y usuarios de canal corresponsal. DDC reforzada obligatoria per R.10/R.13 GAFI.</t>
  </si>
  <si>
    <t>ALTO (naranja)</t>
  </si>
  <si>
    <t>Clientes con algún factor de riesgo moderado. Monitoreo periódico y actualización de expediente semestral.</t>
  </si>
  <si>
    <t>MEDIO (amarillo)</t>
  </si>
  <si>
    <t>Clientes con perfil conocido, baja exposición geográfica y canal presencial. DDC simplificada según JM-108-2010.</t>
  </si>
  <si>
    <t>BAJO (verde)</t>
  </si>
  <si>
    <t>INTERPRETACIÓN DEL SEMÁFORO</t>
  </si>
  <si>
    <t>Monitoreo mensual. Aprobación Junta Directiva. Reporte a IVE si procede. Investigación de origen de fondos.</t>
  </si>
  <si>
    <t>DDC Reforzada + Alta Gerencia</t>
  </si>
  <si>
    <t>Monitoreo trimestral. Aprobación Gerencia de Cumplimiento. Revisión de beneficiario final.</t>
  </si>
  <si>
    <t>Monitoreo semestral. Verificar actualizaciones de perfil.</t>
  </si>
  <si>
    <t>Monitoreo anual. Sin restricciones adicionales.</t>
  </si>
  <si>
    <t>Acción Requerida</t>
  </si>
  <si>
    <t>% Cartera</t>
  </si>
  <si>
    <t>N° Clientes</t>
  </si>
  <si>
    <t>CASO 2 — COOPERATIVA DE AHORRO Y CRÉDITO: MONITOREO DE TRANSACCIONES INUSUALES</t>
  </si>
  <si>
    <t>Marco Normativo y Conceptual de Referencia</t>
  </si>
  <si>
    <t>Descripción / Relevancia para el Caso 2</t>
  </si>
  <si>
    <t>Ley Contra el Lavado de Dinero u Otros Activos. Define el delito, las personas obligadas (incluye cooperativas), la IVE como receptor de ROS, y las penas aplicables. Base legal fundamental del caso.</t>
  </si>
  <si>
    <t>Reglamento de la Ley ALD. Artículo clave: establece el umbral de Q50,000 en efectivo como límite de reporte obligatorio a la IVE. También define qué constituye operación inusual vs. sospechosa y obliga a registrar transacciones.</t>
  </si>
  <si>
    <t>Reglamento técnico de la SIB. Aplica a cooperativas supervisadas. Establece la obligación de DDC, monitoreo continuo, perfil del cliente y reporte de operaciones sospechosas (ROS) al Oficial de Cumplimiento.</t>
  </si>
  <si>
    <t>INACOP</t>
  </si>
  <si>
    <t>Instituto Nacional de Cooperativas. Ente regulador primario de las cooperativas en Guatemala. Las cooperativas de ahorro y crédito deben cumplir la normativa ALD bajo supervisión INACOP / SIB según su tamaño y operaciones.</t>
  </si>
  <si>
    <t>Decreto 82-78 (Ley General de Cooperativas)</t>
  </si>
  <si>
    <t xml:space="preserve">  ESTÁNDARES INTERNACIONALES</t>
  </si>
  <si>
    <t>Enfoque Basado en Riesgo (EBR). Las cooperativas, como personas obligadas, deben identificar y evaluar sus riesgos específicos de LD/FT y aplicar controles proporcionales. Justifica el sistema de alertas diferenciadas por tipo de alerta.</t>
  </si>
  <si>
    <t>Debida Diligencia del Cliente. Exige conocer el perfil económico del socio (ingresos, ocupación, historial). Sin perfil establecido no es posible detectar operaciones inusuales. Justifica la columna 'Excede Perfil 3x'.</t>
  </si>
  <si>
    <t>Recomendación 20 GAFI</t>
  </si>
  <si>
    <t>Reporte de operaciones sospechosas (ROS). Las personas obligadas deben reportar a la UIF (IVE en Guatemala) cuando sospechen que fondos provienen de actividades ilícitas, sin necesidad de certeza. Fundamenta la hoja ROS.</t>
  </si>
  <si>
    <t>Tipologías GAFILAT — Cooperativas</t>
  </si>
  <si>
    <t>GAFILAT documenta tipologías específicas en cooperativas: (1) depósitos fraccionados por socios o terceros, (2) retiros inmediatos tras depósito grande, (3) inconsistencia entre ocupación declarada y movimientos, (4) uso de cuentas de socios para canalizar fondos de terceros.</t>
  </si>
  <si>
    <t>GAFILAT — Catálogo de Tipologías</t>
  </si>
  <si>
    <t>IEM Guatemala 2016 (GAFILAT)</t>
  </si>
  <si>
    <t>Brecha identificada: las cooperativas guatemaltecas presentaban debilidades en la implementación de controles ALD/FT, especialmente en DDC y detección de operaciones inusuales. Justifica la necesidad de un sistema de monitoreo automatizado como el del Caso 2.</t>
  </si>
  <si>
    <t>GAFILAT, 4ª Ronda</t>
  </si>
  <si>
    <t xml:space="preserve">  CONCEPTOS CLAVE</t>
  </si>
  <si>
    <t>Transacción que no corresponde al perfil económico declarado del socio: monto, frecuencia, origen o canal atípicos respecto al historial conocido. No implica necesariamente delito. Activa monitoreo reforzado. (AG 118-2002 / ABC SIB)</t>
  </si>
  <si>
    <t>AG 118-2002 / SIB</t>
  </si>
  <si>
    <t>Operación Sospechosa</t>
  </si>
  <si>
    <t>Operación inusual respecto a la cual, tras análisis, existen indicios razonables de vinculación con LD/FT. Activa la obligación de emitir ROS ante la IVE. (Decreto 67-2001 / AG 118-2002)</t>
  </si>
  <si>
    <t>Toda transacción en efectivo ≥ Q50,000 debe reportarse obligatoriamente a la IVE, independientemente del perfil del socio. El modelo usa Q50,000 como umbral de alerta de 'Monto Alto'. (AG 118-2002)</t>
  </si>
  <si>
    <t>AG 118-2002</t>
  </si>
  <si>
    <t>Fraccionamiento (Smurfing)</t>
  </si>
  <si>
    <t>Tipología de lavado que consiste en dividir una suma grande en múltiples transacciones menores para evadir el umbral de reporte. El modelo detecta ≥2 depósitos entre Q15,000 y Q49,999 en ≤5 días calendario como señal de alerta.</t>
  </si>
  <si>
    <t>Tipologías GAFILAT</t>
  </si>
  <si>
    <t>Retiro Inmediato</t>
  </si>
  <si>
    <t>Tipología donde el socio retira la totalidad o gran parte de un depósito reciente, a menudo el mismo día o días después, sugiriendo uso de la cuenta como canal de paso. El modelo alerta retiros ≥ Q40,000.</t>
  </si>
  <si>
    <t>ROS — Reporte de Operación Sospechosa</t>
  </si>
  <si>
    <t>Documento formal que la persona obligada envía a la IVE cuando detecta una operación sospechosa. Debe incluir: datos del socio, descripción de la operación, monto, fecha, canal, y justificación de la sospecha. No implica denuncia penal; es una obligación de reporte.</t>
  </si>
  <si>
    <t>PARÁMETROS DEL MODELO — REGLAS DE ALERTA LD/FT (AG 118-2002 / JM-108-2010)</t>
  </si>
  <si>
    <t>REGLA 1 — MONTO ALTO EN EFECTIVO</t>
  </si>
  <si>
    <t>REGLA 2 — FRACCIONAMIENTO</t>
  </si>
  <si>
    <t>REGLA 3 — RETIRO INMEDIATO</t>
  </si>
  <si>
    <t>Condición</t>
  </si>
  <si>
    <t>Umbral (Q)</t>
  </si>
  <si>
    <t>Parámetro</t>
  </si>
  <si>
    <t>Umbral reporte obligatorio IVE</t>
  </si>
  <si>
    <t>Monto mínimo por depósito (Q)</t>
  </si>
  <si>
    <t>Umbral monto de retiro (Q)</t>
  </si>
  <si>
    <t>Umbral alerta modelo (depósito)</t>
  </si>
  <si>
    <t>Monto máximo por depósito (Q)</t>
  </si>
  <si>
    <t>Ventana post-depósito (días)</t>
  </si>
  <si>
    <t>Umbral alerta modelo (retiro)</t>
  </si>
  <si>
    <t>Ventana de tiempo (días calendario)</t>
  </si>
  <si>
    <t>Relación retiro/depósito previo (%)</t>
  </si>
  <si>
    <t>≥ 80%</t>
  </si>
  <si>
    <t>Factor multiplicador perfil (3x ingreso)</t>
  </si>
  <si>
    <t>Número mínimo de depósitos</t>
  </si>
  <si>
    <t>Canal</t>
  </si>
  <si>
    <t>Sucursal (efectivo)</t>
  </si>
  <si>
    <t>Fuente: AG 118-2002 (umbral Q50,000) | Todo depósito ≥ Q50,000 o retiro ≥ Q40,000 activa alerta. Adicionalmente, cualquier monto que exceda 3 veces el ingreso mensual declarado del socio activa alerta de inconsistencia de perfil.</t>
  </si>
  <si>
    <t>Fuente: Tipologías GAFILAT / AG 118-2002 | Se detecta fraccionamiento cuando el mismo socio realiza ≥2 depósitos en efectivo entre Q15,000 y Q49,999 dentro de una ventana de 5 días calendario. Tipología documentada por GAFILAT para cooperativas.</t>
  </si>
  <si>
    <t>Fuente: Tipologías GAFILAT | Alerta cuando el socio retira ≥ Q40,000 dentro de los 3 días siguientes a un depósito de monto similar. Indica posible uso de cuenta como canal de paso (layering).</t>
  </si>
  <si>
    <t>NIVELES DE SEVERIDAD DE ALERTAS</t>
  </si>
  <si>
    <t>Tipo de Alerta</t>
  </si>
  <si>
    <t>Código de Color</t>
  </si>
  <si>
    <t>Regla Normativa</t>
  </si>
  <si>
    <t>Plazo</t>
  </si>
  <si>
    <t>Monto alto en efectivo</t>
  </si>
  <si>
    <t>NARANJA</t>
  </si>
  <si>
    <t>Depósito ≥ Q50,000 o retiro ≥ Q40,000 en efectivo</t>
  </si>
  <si>
    <t>AG 118-2002 / R.20 GAFI</t>
  </si>
  <si>
    <t>Revisión por Oficial de Cumplimiento</t>
  </si>
  <si>
    <t>5 días hábiles</t>
  </si>
  <si>
    <t>Inconsistencia de perfil</t>
  </si>
  <si>
    <t>ROJO</t>
  </si>
  <si>
    <t>Monto &gt; 3x ingreso mensual declarado del socio</t>
  </si>
  <si>
    <t>DDC reforzada + investigación de origen</t>
  </si>
  <si>
    <t>3 días hábiles</t>
  </si>
  <si>
    <t>Posible fraccionamiento</t>
  </si>
  <si>
    <t>≥2 depósitos entre Q15,000-Q49,999 en ≤5 días</t>
  </si>
  <si>
    <t>AG 118-2002 / GAFILAT</t>
  </si>
  <si>
    <t>DDC reforzada + posible ROS a IVE</t>
  </si>
  <si>
    <t>Retiro inmediato</t>
  </si>
  <si>
    <t>Retiro ≥ Q40,000 dentro de 3 días post-depósito similar</t>
  </si>
  <si>
    <t>GAFILAT</t>
  </si>
  <si>
    <t>Investigación + posible ROS a IVE</t>
  </si>
  <si>
    <t>2 días hábiles</t>
  </si>
  <si>
    <t>Monto alto + Inconsistencia</t>
  </si>
  <si>
    <t>Depósito ≥ Q50,000 Y excede 3x perfil simultáneamente</t>
  </si>
  <si>
    <t>AG 118-2002 + R.10 GAFI</t>
  </si>
  <si>
    <t>ROS inmediato a IVE + bloqueo cautelar</t>
  </si>
  <si>
    <t>24 horas</t>
  </si>
  <si>
    <t>VERDE</t>
  </si>
  <si>
    <t>Transacción dentro del perfil y sin señales de alerta</t>
  </si>
  <si>
    <t>—</t>
  </si>
  <si>
    <t>Monitoreo ordinario</t>
  </si>
  <si>
    <t>Fuente: AG 118-2002, Resolución JM-108-2010, Recomendaciones R.10, R.20 GAFI (2023), y Catálogo de Tipologías GAFILAT.</t>
  </si>
  <si>
    <t>ESTADOS DE INVESTIGACIÓN</t>
  </si>
  <si>
    <t>Estado</t>
  </si>
  <si>
    <t>Pendiente análisis</t>
  </si>
  <si>
    <t>AMARILLO</t>
  </si>
  <si>
    <t>Alerta generada, aún no revisada por el Oficial de Cumplimiento.</t>
  </si>
  <si>
    <t>Asignar y comenzar revisión inicial del caso.</t>
  </si>
  <si>
    <t>En investigación</t>
  </si>
  <si>
    <t>Caso bajo análisis activo. Se están recabando documentos o entrevistando al socio.</t>
  </si>
  <si>
    <t>Continuar DDC reforzada. Documentar hallazgos.</t>
  </si>
  <si>
    <t>Reportado a IVE</t>
  </si>
  <si>
    <t>ROS emitido formalmente ante la Intendencia de Verificación Especial.</t>
  </si>
  <si>
    <t>Conservar expediente. Aguardar instrucciones de la IVE.</t>
  </si>
  <si>
    <t>Cumplido</t>
  </si>
  <si>
    <t>No procede</t>
  </si>
  <si>
    <t>Tras análisis, la operación fue justificada por el socio. No hay indicios de LD/FT.</t>
  </si>
  <si>
    <t>Documentar justificación y archivar el caso</t>
  </si>
  <si>
    <t>Fuente: Dec. 67-2001 / AG 118-2002 | El plazo de reporte a la IVE es de 20 días hábiles desde la detección de la operación sospechosa.</t>
  </si>
  <si>
    <t>CARTERA DE SOCIOS — COOPERATIVA LD/FT (Persona Obligada: Dec. 67-2001 / AG 118-2002 / JM-108-2010)</t>
  </si>
  <si>
    <t>Cooperativa de Ahorro y Crédito 'Futuro Seguro, R.L.' — Supervisada por INACOP / SIB — Junio 2026</t>
  </si>
  <si>
    <t>Nombre del Socio</t>
  </si>
  <si>
    <t>Ocupación</t>
  </si>
  <si>
    <t>Ingreso Mensual
Estimado (Q)</t>
  </si>
  <si>
    <t>Perfil de
Riesgo</t>
  </si>
  <si>
    <t>Agricultor</t>
  </si>
  <si>
    <t>Comerciante minorista</t>
  </si>
  <si>
    <t>Taxista</t>
  </si>
  <si>
    <t>Maestra</t>
  </si>
  <si>
    <t>Ganadero</t>
  </si>
  <si>
    <t>Enfermera</t>
  </si>
  <si>
    <t>Importador</t>
  </si>
  <si>
    <t>Ama de casa</t>
  </si>
  <si>
    <t>Abogado</t>
  </si>
  <si>
    <t>Estilista</t>
  </si>
  <si>
    <t>Comerciante</t>
  </si>
  <si>
    <t>Conductor de camión</t>
  </si>
  <si>
    <t>Contadora</t>
  </si>
  <si>
    <t>Docente universitaria</t>
  </si>
  <si>
    <t>Dueño de tienda</t>
  </si>
  <si>
    <t>Secretaria</t>
  </si>
  <si>
    <t>Ingeniero agrónomo</t>
  </si>
  <si>
    <t>Costurera</t>
  </si>
  <si>
    <t>Remesero / Transportista</t>
  </si>
  <si>
    <t>Farmacéutica</t>
  </si>
  <si>
    <t>Constructor</t>
  </si>
  <si>
    <t>Estudiante universitaria</t>
  </si>
  <si>
    <t>Vendedora</t>
  </si>
  <si>
    <t>Mecánico</t>
  </si>
  <si>
    <t>Abogada</t>
  </si>
  <si>
    <t>Comerciante de electrodomésticos</t>
  </si>
  <si>
    <t>Nutricionista</t>
  </si>
  <si>
    <t>Dueño de taller</t>
  </si>
  <si>
    <t>Docente</t>
  </si>
  <si>
    <t>Conductor</t>
  </si>
  <si>
    <t>Estudiante</t>
  </si>
  <si>
    <t>Pedro Alberto Castillo</t>
  </si>
  <si>
    <t>Laura Sofía Soto</t>
  </si>
  <si>
    <t>Francisco Eduardo Morales</t>
  </si>
  <si>
    <t>Rosa María Díaz</t>
  </si>
  <si>
    <t>Miguel Torres Herrera</t>
  </si>
  <si>
    <t>Empresario de transporte</t>
  </si>
  <si>
    <t>Vendedora de textiles</t>
  </si>
  <si>
    <t>Ingeniero civil</t>
  </si>
  <si>
    <t>Dueño de supermercado</t>
  </si>
  <si>
    <t>REGISTRO DE TRANSACCIONES — SISTEMA DE ALERTAS LD/FT</t>
  </si>
  <si>
    <t>Período: Enero–Junio 2026  |  Reglas: AG 118-2002 / JM-108-2010 / Tipologías GAFILAT  |  Umbral reporte IVE: Q50,000  |  Umbral alerta retiro: Q40,000  |  Factor perfil: 3x ingreso mensual</t>
  </si>
  <si>
    <t>ID
Trans</t>
  </si>
  <si>
    <t>ID
Socio</t>
  </si>
  <si>
    <t>Nombre Socio</t>
  </si>
  <si>
    <t>Tipo</t>
  </si>
  <si>
    <t>Monto (Q)</t>
  </si>
  <si>
    <t>Concepto</t>
  </si>
  <si>
    <t>Ingreso
Mensual (Q)</t>
  </si>
  <si>
    <t>¿Excede
Perfil 3x?</t>
  </si>
  <si>
    <t>Bandera
Alerta</t>
  </si>
  <si>
    <t>Fraccionamiento</t>
  </si>
  <si>
    <t>05/01/2025</t>
  </si>
  <si>
    <t>Depósito</t>
  </si>
  <si>
    <t>App</t>
  </si>
  <si>
    <t>Servicios de estilista</t>
  </si>
  <si>
    <t>08/01/2025</t>
  </si>
  <si>
    <t>Sucursal</t>
  </si>
  <si>
    <t>Salario quincena</t>
  </si>
  <si>
    <t>10/01/2025</t>
  </si>
  <si>
    <t>Salario</t>
  </si>
  <si>
    <t>12/01/2025</t>
  </si>
  <si>
    <t>Ventas de costura</t>
  </si>
  <si>
    <t>15/01/2025</t>
  </si>
  <si>
    <t>Venta de café</t>
  </si>
  <si>
    <t>16/01/2025</t>
  </si>
  <si>
    <t>18/01/2025</t>
  </si>
  <si>
    <t>Reparaciones mecánicas</t>
  </si>
  <si>
    <t>20/01/2025</t>
  </si>
  <si>
    <t>22/01/2025</t>
  </si>
  <si>
    <t>Remesa familiar</t>
  </si>
  <si>
    <t>25/01/2025</t>
  </si>
  <si>
    <t>Servicios de belleza</t>
  </si>
  <si>
    <t>28/01/2025</t>
  </si>
  <si>
    <t>Salario docente</t>
  </si>
  <si>
    <t>02/02/2025</t>
  </si>
  <si>
    <t>Remesa</t>
  </si>
  <si>
    <t>05/02/2025</t>
  </si>
  <si>
    <t>07/02/2025</t>
  </si>
  <si>
    <t>10/02/2025</t>
  </si>
  <si>
    <t>Venta de ganado</t>
  </si>
  <si>
    <t>12/02/2025</t>
  </si>
  <si>
    <t>Venta de productos</t>
  </si>
  <si>
    <t>15/02/2025</t>
  </si>
  <si>
    <t>Ventas farmacia</t>
  </si>
  <si>
    <t>18/02/2025</t>
  </si>
  <si>
    <t>20/02/2025</t>
  </si>
  <si>
    <t>Ventas electrodomésticos</t>
  </si>
  <si>
    <t>22/02/2025</t>
  </si>
  <si>
    <t>25/02/2025</t>
  </si>
  <si>
    <t>Salario enfermera</t>
  </si>
  <si>
    <t>01/03/2025</t>
  </si>
  <si>
    <t>Ventas</t>
  </si>
  <si>
    <t>03/03/2025</t>
  </si>
  <si>
    <t>05/03/2025</t>
  </si>
  <si>
    <t>Reparaciones grandes</t>
  </si>
  <si>
    <t>06/03/2025</t>
  </si>
  <si>
    <t>08/03/2025</t>
  </si>
  <si>
    <t>10/03/2025</t>
  </si>
  <si>
    <t>12/03/2025</t>
  </si>
  <si>
    <t>15/03/2025</t>
  </si>
  <si>
    <t>Ventas grandes</t>
  </si>
  <si>
    <t>18/03/2025</t>
  </si>
  <si>
    <t>20/03/2025</t>
  </si>
  <si>
    <t>Remesas</t>
  </si>
  <si>
    <t>22/03/2025</t>
  </si>
  <si>
    <t>25/03/2025</t>
  </si>
  <si>
    <t>Honorarios</t>
  </si>
  <si>
    <t>01/04/2025</t>
  </si>
  <si>
    <t>Consultas</t>
  </si>
  <si>
    <t>03/04/2025</t>
  </si>
  <si>
    <t>Retiro</t>
  </si>
  <si>
    <t>Compra de equipo</t>
  </si>
  <si>
    <t>05/04/2025</t>
  </si>
  <si>
    <t>Ingresos por fletes</t>
  </si>
  <si>
    <t>08/04/2025</t>
  </si>
  <si>
    <t>Venta agrícola</t>
  </si>
  <si>
    <t>10/04/2025</t>
  </si>
  <si>
    <t>Ventas mayoristas</t>
  </si>
  <si>
    <t>12/04/2025</t>
  </si>
  <si>
    <t>Cobro de obra</t>
  </si>
  <si>
    <t>15/04/2025</t>
  </si>
  <si>
    <t>Honorarios + consultorías</t>
  </si>
  <si>
    <t>18/04/2025</t>
  </si>
  <si>
    <t>Fletes</t>
  </si>
  <si>
    <t>20/04/2025</t>
  </si>
  <si>
    <t>Ventas tienda</t>
  </si>
  <si>
    <t>22/04/2025</t>
  </si>
  <si>
    <t>25/04/2025</t>
  </si>
  <si>
    <t>Ingresos por viajes</t>
  </si>
  <si>
    <t>02/05/2025</t>
  </si>
  <si>
    <t>05/05/2025</t>
  </si>
  <si>
    <t>07/05/2025</t>
  </si>
  <si>
    <t>Cobro clientes</t>
  </si>
  <si>
    <t>10/05/2025</t>
  </si>
  <si>
    <t>Pago personal</t>
  </si>
  <si>
    <t>12/05/2025</t>
  </si>
  <si>
    <t>Importación</t>
  </si>
  <si>
    <t>15/05/2025</t>
  </si>
  <si>
    <t>18/05/2025</t>
  </si>
  <si>
    <t>20/05/2025</t>
  </si>
  <si>
    <t>22/05/2025</t>
  </si>
  <si>
    <t>25/05/2025</t>
  </si>
  <si>
    <t>01/06/2025</t>
  </si>
  <si>
    <t>Venta productos</t>
  </si>
  <si>
    <t>03/06/2025</t>
  </si>
  <si>
    <t>05/06/2025</t>
  </si>
  <si>
    <t>08/06/2025</t>
  </si>
  <si>
    <t>Servicios</t>
  </si>
  <si>
    <t>10/06/2025</t>
  </si>
  <si>
    <t>12/06/2025</t>
  </si>
  <si>
    <t>15/06/2025</t>
  </si>
  <si>
    <t>18/06/2025</t>
  </si>
  <si>
    <t>20/06/2025</t>
  </si>
  <si>
    <t>22/06/2025</t>
  </si>
  <si>
    <t>24/06/2025</t>
  </si>
  <si>
    <t>Compra de materiales</t>
  </si>
  <si>
    <t>25/06/2025</t>
  </si>
  <si>
    <t>26/06/2025</t>
  </si>
  <si>
    <t>27/06/2025</t>
  </si>
  <si>
    <t>28/06/2025</t>
  </si>
  <si>
    <t>29/06/2025</t>
  </si>
  <si>
    <t>30/06/2025</t>
  </si>
  <si>
    <t>Pago a proveedores</t>
  </si>
  <si>
    <t>Venta grande</t>
  </si>
  <si>
    <t>02/07/2025</t>
  </si>
  <si>
    <t>05/07/2025</t>
  </si>
  <si>
    <t>08/07/2025</t>
  </si>
  <si>
    <t>10/07/2025</t>
  </si>
  <si>
    <t>12/07/2025</t>
  </si>
  <si>
    <t>15/07/2025</t>
  </si>
  <si>
    <t>18/07/2025</t>
  </si>
  <si>
    <t>20/07/2025</t>
  </si>
  <si>
    <t>22/07/2025</t>
  </si>
  <si>
    <t>25/07/2025</t>
  </si>
  <si>
    <t>28/07/2025</t>
  </si>
  <si>
    <t>01/08/2025</t>
  </si>
  <si>
    <t>04/08/2025</t>
  </si>
  <si>
    <t>07/08/2025</t>
  </si>
  <si>
    <t>10/08/2025</t>
  </si>
  <si>
    <t>Venta de mercadería</t>
  </si>
  <si>
    <t>11/08/2025</t>
  </si>
  <si>
    <t>14/08/2025</t>
  </si>
  <si>
    <t>Consultas nutricionales</t>
  </si>
  <si>
    <t>18/08/2025</t>
  </si>
  <si>
    <t>20/08/2025</t>
  </si>
  <si>
    <t>22/08/2025</t>
  </si>
  <si>
    <t>25/08/2025</t>
  </si>
  <si>
    <t>28/08/2025</t>
  </si>
  <si>
    <t>02/09/2025</t>
  </si>
  <si>
    <t>05/09/2025</t>
  </si>
  <si>
    <t>08/09/2025</t>
  </si>
  <si>
    <t>10/09/2025</t>
  </si>
  <si>
    <t>12/09/2025</t>
  </si>
  <si>
    <t>15/09/2025</t>
  </si>
  <si>
    <t>18/09/2025</t>
  </si>
  <si>
    <t>20/09/2025</t>
  </si>
  <si>
    <t>22/09/2025</t>
  </si>
  <si>
    <t>Reparaciones</t>
  </si>
  <si>
    <t>25/09/2025</t>
  </si>
  <si>
    <t>28/09/2025</t>
  </si>
  <si>
    <t>01/10/2025</t>
  </si>
  <si>
    <t>03/10/2025</t>
  </si>
  <si>
    <t>05/10/2025</t>
  </si>
  <si>
    <t>08/10/2025</t>
  </si>
  <si>
    <t>10/10/2025</t>
  </si>
  <si>
    <t>12/10/2025</t>
  </si>
  <si>
    <t>15/10/2025</t>
  </si>
  <si>
    <t>18/10/2025</t>
  </si>
  <si>
    <t>20/10/2025</t>
  </si>
  <si>
    <t>22/10/2025</t>
  </si>
  <si>
    <t>25/10/2025</t>
  </si>
  <si>
    <t>01/11/2025</t>
  </si>
  <si>
    <t>03/11/2025</t>
  </si>
  <si>
    <t>05/11/2025</t>
  </si>
  <si>
    <t>08/11/2025</t>
  </si>
  <si>
    <t>Venta de electrodomésticos</t>
  </si>
  <si>
    <t>10/11/2025</t>
  </si>
  <si>
    <t>11/11/2025</t>
  </si>
  <si>
    <t>15/11/2025</t>
  </si>
  <si>
    <t>18/11/2025</t>
  </si>
  <si>
    <t>20/11/2025</t>
  </si>
  <si>
    <t>22/11/2025</t>
  </si>
  <si>
    <t>25/11/2025</t>
  </si>
  <si>
    <t>28/11/2025</t>
  </si>
  <si>
    <t>01/12/2025</t>
  </si>
  <si>
    <t>03/12/2025</t>
  </si>
  <si>
    <t>05/12/2025</t>
  </si>
  <si>
    <t>08/12/2025</t>
  </si>
  <si>
    <t>10/12/2025</t>
  </si>
  <si>
    <t>12/12/2025</t>
  </si>
  <si>
    <t>15/12/2025</t>
  </si>
  <si>
    <t>18/12/2025</t>
  </si>
  <si>
    <t>20/12/2025</t>
  </si>
  <si>
    <t>22/12/2025</t>
  </si>
  <si>
    <t>24/12/2025</t>
  </si>
  <si>
    <t>26/12/2025</t>
  </si>
  <si>
    <t>28/12/2025</t>
  </si>
  <si>
    <t>30/12/2025</t>
  </si>
  <si>
    <t>28/10/2025</t>
  </si>
  <si>
    <t>12/11/2025</t>
  </si>
  <si>
    <t>02/12/2025</t>
  </si>
  <si>
    <t>05/08/2025</t>
  </si>
  <si>
    <t>30/07/2025</t>
  </si>
  <si>
    <t>08/01/2026</t>
  </si>
  <si>
    <t>Venta de cosecha</t>
  </si>
  <si>
    <t>15/01/2026</t>
  </si>
  <si>
    <t>10/01/2026</t>
  </si>
  <si>
    <t>Ventas de tienda</t>
  </si>
  <si>
    <t>12/01/2026</t>
  </si>
  <si>
    <t>20/01/2026</t>
  </si>
  <si>
    <t>05/01/2026</t>
  </si>
  <si>
    <t>06/01/2026</t>
  </si>
  <si>
    <t>18/01/2026</t>
  </si>
  <si>
    <t>22/01/2026</t>
  </si>
  <si>
    <t>Importación de mercadería</t>
  </si>
  <si>
    <t>25/01/2026</t>
  </si>
  <si>
    <t>03/02/2026</t>
  </si>
  <si>
    <t>08/02/2026</t>
  </si>
  <si>
    <t>Pago de servicios</t>
  </si>
  <si>
    <t>10/02/2026</t>
  </si>
  <si>
    <t>Servicios prestados</t>
  </si>
  <si>
    <t>12/02/2026</t>
  </si>
  <si>
    <t>Venta de productos agrícolas</t>
  </si>
  <si>
    <t>13/02/2026</t>
  </si>
  <si>
    <t>15/02/2026</t>
  </si>
  <si>
    <t>20/02/2026</t>
  </si>
  <si>
    <t>Compra de insumos</t>
  </si>
  <si>
    <t>22/02/2026</t>
  </si>
  <si>
    <t>Flete internacional</t>
  </si>
  <si>
    <t>25/02/2026</t>
  </si>
  <si>
    <t>01/03/2026</t>
  </si>
  <si>
    <t>05/03/2026</t>
  </si>
  <si>
    <t>08/03/2026</t>
  </si>
  <si>
    <t>10/03/2026</t>
  </si>
  <si>
    <t>11/03/2026</t>
  </si>
  <si>
    <t>15/03/2026</t>
  </si>
  <si>
    <t>18/03/2026</t>
  </si>
  <si>
    <t>19/03/2026</t>
  </si>
  <si>
    <t>22/03/2026</t>
  </si>
  <si>
    <t>25/03/2026</t>
  </si>
  <si>
    <t>02/04/2026</t>
  </si>
  <si>
    <t>05/04/2026</t>
  </si>
  <si>
    <t>08/04/2026</t>
  </si>
  <si>
    <t>Remesas / Importación</t>
  </si>
  <si>
    <t>10/04/2026</t>
  </si>
  <si>
    <t>12/04/2026</t>
  </si>
  <si>
    <t>15/04/2026</t>
  </si>
  <si>
    <t>18/04/2026</t>
  </si>
  <si>
    <t>20/04/2026</t>
  </si>
  <si>
    <t>22/04/2026</t>
  </si>
  <si>
    <t>25/04/2026</t>
  </si>
  <si>
    <t>03/05/2026</t>
  </si>
  <si>
    <t>07/05/2026</t>
  </si>
  <si>
    <t>08/05/2026</t>
  </si>
  <si>
    <t>10/05/2026</t>
  </si>
  <si>
    <t>12/05/2026</t>
  </si>
  <si>
    <t>Pago proveedores</t>
  </si>
  <si>
    <t>15/05/2026</t>
  </si>
  <si>
    <t>18/05/2026</t>
  </si>
  <si>
    <t>20/05/2026</t>
  </si>
  <si>
    <t>22/05/2026</t>
  </si>
  <si>
    <t>Operación comercial</t>
  </si>
  <si>
    <t>25/05/2026</t>
  </si>
  <si>
    <t>01/06/2026</t>
  </si>
  <si>
    <t>03/06/2026</t>
  </si>
  <si>
    <t>05/06/2026</t>
  </si>
  <si>
    <t>08/06/2026</t>
  </si>
  <si>
    <t>Inversión</t>
  </si>
  <si>
    <t>10/06/2026</t>
  </si>
  <si>
    <t>12/06/2026</t>
  </si>
  <si>
    <t>15/06/2026</t>
  </si>
  <si>
    <t>18/06/2026</t>
  </si>
  <si>
    <t>20/06/2026</t>
  </si>
  <si>
    <t>22/06/2026</t>
  </si>
  <si>
    <t>25/06/2026</t>
  </si>
  <si>
    <t>Ventas del mes</t>
  </si>
  <si>
    <t>07/01/2026</t>
  </si>
  <si>
    <t>09/01/2026</t>
  </si>
  <si>
    <t>Ventas de la semana</t>
  </si>
  <si>
    <t>11/01/2026</t>
  </si>
  <si>
    <t>14/01/2026</t>
  </si>
  <si>
    <t>16/01/2026</t>
  </si>
  <si>
    <t>Salario + ventas farmacia</t>
  </si>
  <si>
    <t>21/01/2026</t>
  </si>
  <si>
    <t>Honorarios legales</t>
  </si>
  <si>
    <t>28/01/2026</t>
  </si>
  <si>
    <t>02/02/2026</t>
  </si>
  <si>
    <t>05/02/2026</t>
  </si>
  <si>
    <t>Cobro de trabajos</t>
  </si>
  <si>
    <t>18/02/2026</t>
  </si>
  <si>
    <t>03/03/2026</t>
  </si>
  <si>
    <t>06/03/2026</t>
  </si>
  <si>
    <t>12/03/2026</t>
  </si>
  <si>
    <t>Compra de vehículo</t>
  </si>
  <si>
    <t>20/03/2026</t>
  </si>
  <si>
    <t>Honorarios + otros</t>
  </si>
  <si>
    <t>07/04/2026</t>
  </si>
  <si>
    <t>01/05/2026</t>
  </si>
  <si>
    <t>05/05/2026</t>
  </si>
  <si>
    <t>24/06/2026</t>
  </si>
  <si>
    <t>26/06/2026</t>
  </si>
  <si>
    <t>28/06/2026</t>
  </si>
  <si>
    <t>30/06/2026</t>
  </si>
  <si>
    <t>27/06/2026</t>
  </si>
  <si>
    <t>29/06/2026</t>
  </si>
  <si>
    <t>REPORTE DE OPERACIONES SOSPECHOSAS (ROS) — COOPERATIVA LD/FT</t>
  </si>
  <si>
    <t>Instrumento: Decreto 67-2001 / AG 118-2002  |  Receptor: IVE (Intendencia de Verificación Especial)  |  Plazo de reporte: 20 días hábiles desde detección (AG 118-2002)  |  Estado: BORRADOR — Para revisión del Oficial de Cumplimiento</t>
  </si>
  <si>
    <t>ID
ROS</t>
  </si>
  <si>
    <t>Fecha
Trans.</t>
  </si>
  <si>
    <t>Justificación Técnica</t>
  </si>
  <si>
    <t>Referencia Normativa</t>
  </si>
  <si>
    <t>Fecha
Detección</t>
  </si>
  <si>
    <t>Acciones Sugeridas</t>
  </si>
  <si>
    <t>Monto supera 3x el ingreso mensual declarado del socio. No corresponde al perfil económico conocido.</t>
  </si>
  <si>
    <t>JM-108-2010 (perfil cliente) / R.10 GAFI</t>
  </si>
  <si>
    <t>Entrevistar al socio. Solicitar documentación de ingresos actualizada. Actualizar perfil o emitir ROS.</t>
  </si>
  <si>
    <t>Monto ≥ Q50,000 Y supera 3x ingreso mensual declarado. Doble señal de alerta. DDC reforzada inmediata.</t>
  </si>
  <si>
    <t>AG 118-2002 / JM-108-2010 DDC / R.10 + R.20 GAFI</t>
  </si>
  <si>
    <t>DDC reforzada inmediata. Solicitar origen de fondos. Revisar historial completo. Emitir ROS a IVE en 3 días.</t>
  </si>
  <si>
    <t>13/01/2026</t>
  </si>
  <si>
    <t>17/01/2026</t>
  </si>
  <si>
    <t>19/01/2026</t>
  </si>
  <si>
    <t>23/01/2026</t>
  </si>
  <si>
    <t>24/01/2026</t>
  </si>
  <si>
    <t>26/01/2026</t>
  </si>
  <si>
    <t>Transacción en efectivo ≥ Q50,000 activa reporte automático (AG 118-2002). Verificar origen lícito de fondos.</t>
  </si>
  <si>
    <t>AG 118-2002 Art. umbral / Dec. 67-2001 / R.20 GAFI</t>
  </si>
  <si>
    <t>27/01/2026</t>
  </si>
  <si>
    <t>Solicitar documentación de origen de fondos. Si no justificado en 5 días hábiles: emitir ROS a IVE.</t>
  </si>
  <si>
    <t>29/01/2026</t>
  </si>
  <si>
    <t>30/01/2026</t>
  </si>
  <si>
    <t>31/01/2026</t>
  </si>
  <si>
    <t>01/02/2026</t>
  </si>
  <si>
    <t>04/02/2026</t>
  </si>
  <si>
    <t>06/02/2026</t>
  </si>
  <si>
    <t>07/02/2026</t>
  </si>
  <si>
    <t>09/02/2026</t>
  </si>
  <si>
    <t>11/02/2026</t>
  </si>
  <si>
    <t>14/02/2026</t>
  </si>
  <si>
    <t>16/02/2026</t>
  </si>
  <si>
    <t>17/02/2026</t>
  </si>
  <si>
    <t>≥2 depósitos entre Q15,000 y Q49,999 en ventana de 5 días. Tipología GAFILAT: smurfing para evadir umbral Q50,000.</t>
  </si>
  <si>
    <t>AG 118-2002 / Tipologías GAFILAT (smurfing)</t>
  </si>
  <si>
    <t>19/02/2026</t>
  </si>
  <si>
    <t>Revisar todas las transacciones del socio en los últimos 30 días. Correlacionar con otras cuentas. Emitir ROS.</t>
  </si>
  <si>
    <t>21/02/2026</t>
  </si>
  <si>
    <t>23/02/2026</t>
  </si>
  <si>
    <t>24/02/2026</t>
  </si>
  <si>
    <t>26/02/2026</t>
  </si>
  <si>
    <t>27/02/2026</t>
  </si>
  <si>
    <t>28/02/2026</t>
  </si>
  <si>
    <t>02/03/2026</t>
  </si>
  <si>
    <t>04/03/2026</t>
  </si>
  <si>
    <t>07/03/2026</t>
  </si>
  <si>
    <t>Retiro ≥ Q40,000 en efectivo. Posible uso de cuenta como canal de paso (layering). Verificar destino de fondos.</t>
  </si>
  <si>
    <t>Tipologías GAFILAT (layering) / AG 118-2002</t>
  </si>
  <si>
    <t>09/03/2026</t>
  </si>
  <si>
    <t>Verificar si el retiro sigue a un depósito reciente. Investigar destino de fondos. Posible reporte a IVE.</t>
  </si>
  <si>
    <t>13/03/2026</t>
  </si>
  <si>
    <t>14/03/2026</t>
  </si>
  <si>
    <t>16/03/2026</t>
  </si>
  <si>
    <t>17/03/2026</t>
  </si>
  <si>
    <t>21/03/2026</t>
  </si>
  <si>
    <t>23/03/2026</t>
  </si>
  <si>
    <t>24/03/2026</t>
  </si>
  <si>
    <t>26/03/2026</t>
  </si>
  <si>
    <t>27/03/2026</t>
  </si>
  <si>
    <t>28/03/2026</t>
  </si>
  <si>
    <t>29/03/2026</t>
  </si>
  <si>
    <t>30/03/2026</t>
  </si>
  <si>
    <t>31/03/2026</t>
  </si>
  <si>
    <t>01/04/2026</t>
  </si>
  <si>
    <t>RESUMEN EJECUTIVO — SISTEMA DE MONITOREO LD/FT</t>
  </si>
  <si>
    <t>Cooperativa Futuro Seguro, R.L.  |  Período: Enero–Junio 2026  |  Total socios: 70  |  Total transacciones analizadas: 300</t>
  </si>
  <si>
    <t>INDICADORES CLAVE DEL PERÍODO</t>
  </si>
  <si>
    <t>Nota</t>
  </si>
  <si>
    <t>Total transacciones analizadas</t>
  </si>
  <si>
    <t>Total alertas generadas</t>
  </si>
  <si>
    <t>del total de transacciones</t>
  </si>
  <si>
    <t>Transacciones normales</t>
  </si>
  <si>
    <t>dentro del perfil</t>
  </si>
  <si>
    <t>Socios con al menos 1 alerta</t>
  </si>
  <si>
    <t>de 70 socios totales</t>
  </si>
  <si>
    <t>DESGLOSE DE ALERTAS POR TIPO</t>
  </si>
  <si>
    <t>N° Alertas</t>
  </si>
  <si>
    <t>% de Alertas</t>
  </si>
  <si>
    <t>Normativa Base</t>
  </si>
  <si>
    <t>AG 118-2002 (Q50,000)</t>
  </si>
  <si>
    <t>GAFILAT (tipologías)</t>
  </si>
  <si>
    <t>NOTA NORMATIVA: Las alertas de tipo 'Monto alto en efectivo' activan reporte obligatorio a la IVE (AG 118-2002). Las demás alertas requieren análisis del Oficial de Cumplimiento dentro de los plazos establecidos en la hoja ROS. El incumplimiento del deber de reporte está sancionado por el Decreto 67-2001.</t>
  </si>
  <si>
    <t>Banco 'El Amanecer S.A'. (Persona Obligada — Dec. 67-2001 / AG 118-2002 / JM-108-2010)  |  Metodología: Enfoque Basado en Riesgo (R.1 GAFI)  |  Fecha: Junio 2026</t>
  </si>
  <si>
    <t>Banco 'El Amanecer S.A.' (Persona Obligada — Dec. 67-2001 / AG 118-2002 / JM-108-2010)  |  Metodología: Enfoque Basado en Riesgo (R.1 GAFI)  |  Fecha: Junio 2026</t>
  </si>
  <si>
    <t>CASO 3 — CASA DE CAMBIO / REMESADORA: CÁLCULO DE EXPOSICIÓN AL RIESGO FT POR CORREDOR DE REMESAS</t>
  </si>
  <si>
    <t>Marco Normativo y Conceptual de Referencia | Elaboración propia con base en normativa vigente al Junio 2026</t>
  </si>
  <si>
    <t>Descripción / Relevancia para el Caso 3</t>
  </si>
  <si>
    <t>Ley Contra el Lavado de Dinero u Otros Activos. Tipifica el delito de LD, define personas obligadas (incluye remesadoras y casas de cambio), crea la IVE como Unidad de Inteligencia Financiera y establece penas aplicables. Ley madre del sistema ALD/FT guatemalteco.</t>
  </si>
  <si>
    <t>Ley para Prevenir y Reprimir el Financiamiento del Terrorismo y su Reglamento. Instrumento central del Caso 3. Define FT, tipifica el delito, establece obligaciones específicas para operadores de remesas respecto a operaciones con países o personas vinculadas al terrorismo y a listas internacionales de sanciones.</t>
  </si>
  <si>
    <t>Reglamento de la Ley ALD. Establece el umbral de reporte obligatorio a la IVE (Q50,000 o su equivalente en moneda extranjera, aproximadamente USD 6,400). Define operación inusual vs. sospechosa y obliga a las remesadoras a registrar toda transacción y reportar las sospechosas.</t>
  </si>
  <si>
    <t>Reglamento técnico SIB. Establece medidas y requisitos mínimos ALD/FT para el sistema financiero supervisado, incluyendo proveedores de servicios de remesas. Regula DDC, monitoreo, Oficial de Cumplimiento y reporte de operaciones sospechosas (ROS) a la IVE.</t>
  </si>
  <si>
    <t>Decreto 94-2000 — Ley de Libre Negociación de Divisas</t>
  </si>
  <si>
    <t>Marco legal del sistema cambiario guatemalteco. Establece la libertad de remesa, transferencia y disposición de divisas. Define las casas de cambio como personas jurídicas autorizadas por la Junta Monetaria para operar en el Mercado Institucional de Divisas, bajo vigilancia de la SIB.</t>
  </si>
  <si>
    <t>Resolución JM-129-2001</t>
  </si>
  <si>
    <t>Complementa el Decreto 94-2000. Regula la recepción de depósitos en moneda extranjera y la emisión de títulos de crédito en moneda extranjera por parte del sistema bancario. Relevante para entender el marco operativo de las entidades que manejan divisas, incluyendo las remesadoras.</t>
  </si>
  <si>
    <t>Junta Monetaria</t>
  </si>
  <si>
    <t>Recomendación 1 GAFI — EBR</t>
  </si>
  <si>
    <t>Enfoque Basado en Riesgo. Las remesadoras deben identificar, evaluar y mitigar sus riesgos específicos de LD/FT por corredor, tipo de cliente y canal. Justifica la construcción del Índice de Exposición FT como metodología proporcional al riesgo de cada corredor.</t>
  </si>
  <si>
    <t>Recomendación 14 GAFI — Servicios de transferencia de dinero</t>
  </si>
  <si>
    <t>Exige que los servicios de transferencia de dinero o valores (STDV / remesadoras) estén licenciados o registrados y sujetos a los estándares ALD/FT del GAFI. Prohíbe operar a través de agentes no registrados. Aplicación directa a la remesadora del Caso 3.</t>
  </si>
  <si>
    <t>Recomendación 16 GAFI — Transferencias electrónicas</t>
  </si>
  <si>
    <t>Regla 'viaje' (travel rule). Las remesadoras deben incluir información del ordenante y del beneficiario en todas las transferencias. Justifica la columna de remitente y beneficiario en la hoja de transacciones y la detección de variación de remitente para un mismo beneficiario.</t>
  </si>
  <si>
    <t>Recomendación 19 GAFI — Países de mayor riesgo</t>
  </si>
  <si>
    <t>Exige aplicar DDC reforzada para operaciones con países en listas GAFI (negra y gris). Justifica el indicador de riesgo por país de origen en el índice de exposición FT y el puntaje elevado asignado al corredor México por su condición geopolítica.</t>
  </si>
  <si>
    <t>Recomendación 20 GAFI — Reporte de operaciones sospechosas</t>
  </si>
  <si>
    <t>Las personas obligadas deben reportar a la UIF (IVE en Guatemala) cuando sospechen vinculación con LD/FT. Para remesadoras: patrones de fraccionamiento, múltiples remitentes para un beneficiario, y montos recurrentes cercanos al umbral activan esta obligación.</t>
  </si>
  <si>
    <t>Informe Tipologías Regionales LA/FT — GAFILAT 2025</t>
  </si>
  <si>
    <t>Presidencia pro tempore Guatemala 2025. Identifica 6 tipologías principales de LA: uso de PJ, testaferros, fraccionamiento (pitufeo), TBML, activos virtuales y gatekeepers. Para el Caso 3: fraccionamiento en remesas, múltiples remitentes/beneficiarios, montos cercanos a umbrales y uso de activos virtuales como conversión de remesas a cripto.</t>
  </si>
  <si>
    <t>GAFILAT (2025)</t>
  </si>
  <si>
    <t>Informe de Evaluación Mutua Guatemala — GAFILAT 2016</t>
  </si>
  <si>
    <t>Brecha crítica para el Caso 3: Guatemala presentaba debilidades en la supervisión ALD/FT de remesadoras y proveedores de servicios de pago, con DDC insuficiente y subestimación del riesgo FT en canales de remesas. Justifica la necesidad del modelo de monitoreo del Caso 3.</t>
  </si>
  <si>
    <t xml:space="preserve">  CONCEPTOS CLAVE (ABC SIB / GAFI)</t>
  </si>
  <si>
    <t>Corredor de Remesas</t>
  </si>
  <si>
    <t>Ruta bilateral de envío de fondos entre un país de origen (remitente) y Guatemala (beneficiario). El riesgo FT varía por corredor según: posición del país de origen en listas GAFI, volumen relativo del corredor, y patrones de frecuencia y montos. (ABC SIB / R.14 GAFI)</t>
  </si>
  <si>
    <t>ABC SIB / R.14 GAFI</t>
  </si>
  <si>
    <t>Fraccionamiento / Pitufeo (Structuring)</t>
  </si>
  <si>
    <t>Tipología de LD/FT que consiste en dividir transferencias en montos inferiores al umbral de reporte para evitar la detección. En remesas: envíos recurrentes de USD 499 o USD 496-499 desde el mismo remitente o red de remitentes. Documentado en Informe GAFILAT 2025.</t>
  </si>
  <si>
    <t>GAFILAT 2025 / AG 118-2002</t>
  </si>
  <si>
    <t>Variación de Remitente (Smurfing transfronterizo)</t>
  </si>
  <si>
    <t>Múltiples remitentes distintos envían remesas al mismo beneficiario en Guatemala. Señal de alerta FT que puede indicar canalización de fondos de origen ilícito a través de terceros. (R.16 GAFI / R.20 GAFI / Tipologías GAFILAT 2025)</t>
  </si>
  <si>
    <t>R.16 GAFI / GAFILAT 2025</t>
  </si>
  <si>
    <t>Travel Rule — Regla de Viaje</t>
  </si>
  <si>
    <t>Obligación per R.16 GAFI de que las remesadoras incluyan datos completos del ordenante y del beneficiario en toda transferencia. Permite trazabilidad y detección de patrones sospechosos. Aplicable a todas las transacciones del Caso 3.</t>
  </si>
  <si>
    <t>R.16 GAFI / JM-108-2010</t>
  </si>
  <si>
    <t>Índice de Exposición FT</t>
  </si>
  <si>
    <t>Indicador compuesto que mide el riesgo de financiamiento al terrorismo de cada corredor de remesas. Construido con cuatro variables ponderadas: país de origen en lista GAFI (40%), volumen relativo (25%), frecuencia atípica/múltiples remitentes (20%), y montos atípicos cercanos a umbral (15%). Basado en EBR (R.1 GAFI) y metodología de evaluación de riesgos.</t>
  </si>
  <si>
    <t>Elaboración propia / R.1 GAFI</t>
  </si>
  <si>
    <t>Umbral de Reporte — USD equivalente</t>
  </si>
  <si>
    <t>El AG 118-2002 establece Q50,000 como umbral de reporte obligatorio a la IVE. Con tipo de cambio referencial Banguat Q7.80/USD, equivale a aproximadamente USD 6,410. En remesas internacionales, el umbral más relevante operativamente es USD 500 (estándar bancario internacional), que explica los montos recurrentes de USD 499 detectados en la hoja de transacciones.</t>
  </si>
  <si>
    <t>AG 118-2002 / Banguat</t>
  </si>
  <si>
    <t>Fuente general: Decreto 67-2001, Decreto 58-2005, AG 118-2002, AG 86-2006, Resolución JM-108-2010, Decreto 94-2000, Resolución JM-129-2001, 40 Recomendaciones GAFI (rev. 2023), Informe de Tipologías GAFILAT (2025), IEM Guatemala GAFILAT (2016), ABC LD/FT SIB Guatemala.</t>
  </si>
  <si>
    <t>CASO 3 — REMESAS FAMILIARES MENSUALES A GUATEMALA (2015–2026) — FUENTE: BANGUAT</t>
  </si>
  <si>
    <t>Banco de Guatemala | Serie histórica de remesas familiares | Unidad: Millones de USD | Relevancia: Contexto macroeconómico del Caso 3 — Guatemala, primer receptor de remesas de Centroamérica</t>
  </si>
  <si>
    <t xml:space="preserve">  TOTALES ANUALES (2015–2026*)</t>
  </si>
  <si>
    <t>Año</t>
  </si>
  <si>
    <t>Mes</t>
  </si>
  <si>
    <t>Remesas (Mill. USD)</t>
  </si>
  <si>
    <t>Variación Interanual</t>
  </si>
  <si>
    <t>Total Anual (Mill. USD)</t>
  </si>
  <si>
    <t>Variación vs Año Anterior</t>
  </si>
  <si>
    <t>31/01/2015</t>
  </si>
  <si>
    <t>Base histórica; USD 6,285M acumulado</t>
  </si>
  <si>
    <t>28/02/2015</t>
  </si>
  <si>
    <t>Crecimiento 10.4% interanual</t>
  </si>
  <si>
    <t>31/03/2015</t>
  </si>
  <si>
    <t>USD 8,192M; aceleración migración</t>
  </si>
  <si>
    <t>30/04/2015</t>
  </si>
  <si>
    <t>USD 9,288M; nuevo récord histórico entonces</t>
  </si>
  <si>
    <t>31/05/2015</t>
  </si>
  <si>
    <t>USD 10,508M; primer año &gt;USD 10,000M</t>
  </si>
  <si>
    <t>30/06/2015</t>
  </si>
  <si>
    <t>USD 10,340M; resiliencia durante COVID-19</t>
  </si>
  <si>
    <t>31/07/2015</t>
  </si>
  <si>
    <t>USD 15,296M; boom por estímulos EE.UU.</t>
  </si>
  <si>
    <t>31/08/2015</t>
  </si>
  <si>
    <t>USD 18,040M; máximo histórico anual hasta esa fecha</t>
  </si>
  <si>
    <t>30/09/2015</t>
  </si>
  <si>
    <t>USD 19,604M; Guatemala líder Centroamérica</t>
  </si>
  <si>
    <t>31/10/2015</t>
  </si>
  <si>
    <t>USD 21,009M; equivale al ~19% del PIB guatemalteco</t>
  </si>
  <si>
    <t>30/11/2015</t>
  </si>
  <si>
    <t>USD 25,530M* (estimado proyectado al cierre)</t>
  </si>
  <si>
    <t>31/12/2015</t>
  </si>
  <si>
    <t>USD 6,431M* (dato parcial enero–abril)</t>
  </si>
  <si>
    <t>31/01/2016</t>
  </si>
  <si>
    <t>Fuente: Banco de Guatemala (Banguat) — Serie de Remesas Familiares Mensuales. Unidad: Millones de USD. Datos 2026 corresponden a enero-abril (parcial). Disponible en: banguat.gob.gt → Estadísticas → Sector Externo → Remesas Familiares.</t>
  </si>
  <si>
    <t>29/02/2016</t>
  </si>
  <si>
    <t>31/03/2016</t>
  </si>
  <si>
    <t>30/04/2016</t>
  </si>
  <si>
    <t>31/05/2016</t>
  </si>
  <si>
    <t>30/06/2016</t>
  </si>
  <si>
    <t>31/07/2016</t>
  </si>
  <si>
    <t>31/08/2016</t>
  </si>
  <si>
    <t>30/09/2016</t>
  </si>
  <si>
    <t>31/10/2016</t>
  </si>
  <si>
    <t>30/11/2016</t>
  </si>
  <si>
    <t>31/12/2016</t>
  </si>
  <si>
    <t>31/01/2017</t>
  </si>
  <si>
    <t>28/02/2017</t>
  </si>
  <si>
    <t>31/03/2017</t>
  </si>
  <si>
    <t>30/04/2017</t>
  </si>
  <si>
    <t>31/05/2017</t>
  </si>
  <si>
    <t>30/06/2017</t>
  </si>
  <si>
    <t>31/07/2017</t>
  </si>
  <si>
    <t>31/08/2017</t>
  </si>
  <si>
    <t>30/09/2017</t>
  </si>
  <si>
    <t>31/10/2017</t>
  </si>
  <si>
    <t>30/11/2017</t>
  </si>
  <si>
    <t>31/12/2017</t>
  </si>
  <si>
    <t>31/01/2018</t>
  </si>
  <si>
    <t>28/02/2018</t>
  </si>
  <si>
    <t>31/03/2018</t>
  </si>
  <si>
    <t>30/04/2018</t>
  </si>
  <si>
    <t>31/05/2018</t>
  </si>
  <si>
    <t>30/06/2018</t>
  </si>
  <si>
    <t>31/07/2018</t>
  </si>
  <si>
    <t>31/08/2018</t>
  </si>
  <si>
    <t>30/09/2018</t>
  </si>
  <si>
    <t>31/10/2018</t>
  </si>
  <si>
    <t>30/11/2018</t>
  </si>
  <si>
    <t>31/12/2018</t>
  </si>
  <si>
    <t>31/01/2019</t>
  </si>
  <si>
    <t>28/02/2019</t>
  </si>
  <si>
    <t>31/03/2019</t>
  </si>
  <si>
    <t>30/04/2019</t>
  </si>
  <si>
    <t>31/05/2019</t>
  </si>
  <si>
    <t>30/06/2019</t>
  </si>
  <si>
    <t>31/07/2019</t>
  </si>
  <si>
    <t>31/08/2019</t>
  </si>
  <si>
    <t>30/09/2019</t>
  </si>
  <si>
    <t>31/10/2019</t>
  </si>
  <si>
    <t>30/11/2019</t>
  </si>
  <si>
    <t>31/12/2019</t>
  </si>
  <si>
    <t>31/01/2020</t>
  </si>
  <si>
    <t>29/02/2020</t>
  </si>
  <si>
    <t>31/03/2020</t>
  </si>
  <si>
    <t>30/04/2020</t>
  </si>
  <si>
    <t>31/05/2020</t>
  </si>
  <si>
    <t>30/06/2020</t>
  </si>
  <si>
    <t>31/07/2020</t>
  </si>
  <si>
    <t>31/08/2020</t>
  </si>
  <si>
    <t>30/09/2020</t>
  </si>
  <si>
    <t>31/10/2020</t>
  </si>
  <si>
    <t>30/11/2020</t>
  </si>
  <si>
    <t>31/12/2020</t>
  </si>
  <si>
    <t>31/01/2021</t>
  </si>
  <si>
    <t>28/02/2021</t>
  </si>
  <si>
    <t>31/03/2021</t>
  </si>
  <si>
    <t>30/04/2021</t>
  </si>
  <si>
    <t>31/05/2021</t>
  </si>
  <si>
    <t>30/06/2021</t>
  </si>
  <si>
    <t>31/07/2021</t>
  </si>
  <si>
    <t>31/08/2021</t>
  </si>
  <si>
    <t>30/09/2021</t>
  </si>
  <si>
    <t>31/10/2021</t>
  </si>
  <si>
    <t>30/11/2021</t>
  </si>
  <si>
    <t>31/12/2021</t>
  </si>
  <si>
    <t>31/01/2022</t>
  </si>
  <si>
    <t>28/02/2022</t>
  </si>
  <si>
    <t>31/03/2022</t>
  </si>
  <si>
    <t>30/04/2022</t>
  </si>
  <si>
    <t>31/05/2022</t>
  </si>
  <si>
    <t>30/06/2022</t>
  </si>
  <si>
    <t>31/07/2022</t>
  </si>
  <si>
    <t>31/08/2022</t>
  </si>
  <si>
    <t>30/09/2022</t>
  </si>
  <si>
    <t>31/10/2022</t>
  </si>
  <si>
    <t>30/11/2022</t>
  </si>
  <si>
    <t>31/12/2022</t>
  </si>
  <si>
    <t>31/01/2023</t>
  </si>
  <si>
    <t>28/02/2023</t>
  </si>
  <si>
    <t>31/03/2023</t>
  </si>
  <si>
    <t>30/04/2023</t>
  </si>
  <si>
    <t>31/05/2023</t>
  </si>
  <si>
    <t>30/06/2023</t>
  </si>
  <si>
    <t>31/07/2023</t>
  </si>
  <si>
    <t>31/08/2023</t>
  </si>
  <si>
    <t>30/09/2023</t>
  </si>
  <si>
    <t>31/10/2023</t>
  </si>
  <si>
    <t>30/11/2023</t>
  </si>
  <si>
    <t>31/12/2023</t>
  </si>
  <si>
    <t>31/01/2024</t>
  </si>
  <si>
    <t>29/02/2024</t>
  </si>
  <si>
    <t>31/03/2024</t>
  </si>
  <si>
    <t>30/04/2024</t>
  </si>
  <si>
    <t>31/05/2024</t>
  </si>
  <si>
    <t>30/06/2024</t>
  </si>
  <si>
    <t>31/07/2024</t>
  </si>
  <si>
    <t>31/08/2024</t>
  </si>
  <si>
    <t>30/09/2024</t>
  </si>
  <si>
    <t>31/10/2024</t>
  </si>
  <si>
    <t>30/11/2024</t>
  </si>
  <si>
    <t>31/12/2024</t>
  </si>
  <si>
    <t>31/01/2025</t>
  </si>
  <si>
    <t>28/02/2025</t>
  </si>
  <si>
    <t>31/03/2025</t>
  </si>
  <si>
    <t>30/04/2025</t>
  </si>
  <si>
    <t>31/05/2025</t>
  </si>
  <si>
    <t>31/07/2025</t>
  </si>
  <si>
    <t>31/08/2025</t>
  </si>
  <si>
    <t>30/09/2025</t>
  </si>
  <si>
    <t>31/10/2025</t>
  </si>
  <si>
    <t>30/11/2025</t>
  </si>
  <si>
    <t>31/12/2025</t>
  </si>
  <si>
    <t>30/04/2026</t>
  </si>
  <si>
    <t>CASO 3 — PARÁMETROS DEL MODELO: ÍNDICE DE EXPOSICIÓN FT POR CORREDOR DE REMESAS</t>
  </si>
  <si>
    <t>Entidad: Remesadora GuateEnvíos, S.A. (Persona Obligada — Dec. 67-2001 / Dec. 58-2005 / R.14 GAFI) | Período: Enero–Junio 2026 | Metodología: Enfoque Basado en Riesgo (R.1 GAFI)</t>
  </si>
  <si>
    <t xml:space="preserve">  CORREDORES DE REMESAS EVALUADOS</t>
  </si>
  <si>
    <t>% Vol. Estimado
(2025)</t>
  </si>
  <si>
    <t>Volumen Simulado
(USD)</t>
  </si>
  <si>
    <t>Corredor dominante (75% del total). Principal origen de remesas guatemaltecas. Ciudades clave: Los Ángeles, Houston, New York, Miami, Chicago.</t>
  </si>
  <si>
    <t>Banguat 2025</t>
  </si>
  <si>
    <t>Alto riesgo geopolítico y FT. Frontera terrestre con Guatemala. Corredor utilizado también por migrantes en tránsito. México no en lista GAFI pero con alertas SIB por corredores de crimen organizado.</t>
  </si>
  <si>
    <t>Banguat / SIB</t>
  </si>
  <si>
    <t>Riesgo medio. Comunidad guatemalteca establecida. Montos típicos más elevados que corredor mexicano. España no en lista GAFI.</t>
  </si>
  <si>
    <t>Incluye Canadá, Italia, Alemania, resto de Centroamérica y otros. Algunos países emisores pueden estar en lista gris GAFI.</t>
  </si>
  <si>
    <t>Fuente porcentajes: Banguat (2025) — distribución estimada por país de origen. Volumen simulado basado en total anual 2025 de USD 25,000M × % corredor.</t>
  </si>
  <si>
    <t xml:space="preserve">  PESOS PONDERADOS DEL ÍNDICE DE EXPOSICIÓN FT</t>
  </si>
  <si>
    <t>Indicador de Riesgo FT</t>
  </si>
  <si>
    <t>País de Origen en Listas GAFI (negra / gris)</t>
  </si>
  <si>
    <t>R.19 GAFI / Decreto 58-2005 / AG 86-2006</t>
  </si>
  <si>
    <t>Enfoque Basado en Riesgo — R.1 GAFI</t>
  </si>
  <si>
    <t>Tipologías GAFILAT 2025 — Fraccionamiento FT</t>
  </si>
  <si>
    <t>Montos Atípicos (cercanos a umbral USD 500)</t>
  </si>
  <si>
    <t>AG 118-2002 / Tipologías estructuración GAFILAT</t>
  </si>
  <si>
    <t>Los pesos reflejan la relevancia de cada indicador en la evaluación del riesgo FT, con mayor peso al origen geopolítico (lista GAFI) por ser el determinante más objetivo y normativo.</t>
  </si>
  <si>
    <t>A. PUNTAJE POR PAÍS (Lista GAFI) — Peso: 0.40</t>
  </si>
  <si>
    <t>B. PUNTAJE POR VOLUMEN — Peso: 0.25</t>
  </si>
  <si>
    <t>C. PUNTAJE POR FRECUENCIA / MÚLTIPLES REMITENTES — Peso: 0.20</t>
  </si>
  <si>
    <t>D. PUNTAJE POR MONTOS ATÍPICOS — Peso: 0.15</t>
  </si>
  <si>
    <t>Situación del País de Origen</t>
  </si>
  <si>
    <t>% del Total de Remesas</t>
  </si>
  <si>
    <t>Nivel de Frecuencia / Variación de Remitente</t>
  </si>
  <si>
    <t>Nivel de Estructuración Detectada</t>
  </si>
  <si>
    <t>País no enlistado (bajo riesgo)</t>
  </si>
  <si>
    <t>Menor al 5%</t>
  </si>
  <si>
    <t>Bajo: frecuencia normal, remitentes estables</t>
  </si>
  <si>
    <t>Bajo: montos variados, sin patrón cercano al umbral</t>
  </si>
  <si>
    <t>Lista gris GAFI (vigilancia intensificada)</t>
  </si>
  <si>
    <t>Entre 5% y 15%</t>
  </si>
  <si>
    <t>Medio: frecuencia elevada o variación ocasional</t>
  </si>
  <si>
    <t>Medio: algunos montos cercanos a USD 499-499</t>
  </si>
  <si>
    <t>Lista negra GAFI (llamado a contramedidas)</t>
  </si>
  <si>
    <t>Entre 15% y 50%</t>
  </si>
  <si>
    <t>Alto: múltiples remitentes, alta frecuencia recurrente</t>
  </si>
  <si>
    <t>Alto: montos recurrentes USD 496-499 (estructuración)</t>
  </si>
  <si>
    <t>Mezcla / otros de alto riesgo geopolítico</t>
  </si>
  <si>
    <t>Mayor al 50%</t>
  </si>
  <si>
    <t>Fuente: Tipologías GAFILAT 2025 / R.16, R.20 GAFI | Patrón de múltiples remitentes enviando al mismo beneficiario es señal de alerta FT (smurfing transfronterizo). México registra el mayor % de alertas por este indicador.</t>
  </si>
  <si>
    <t>Fuente: AG 118-2002 / GAFILAT 2025 (estructuración) | Montos de USD 496-499 son señal clásica de estructuración para evadir el umbral bancario de USD 500. Detectado principalmente en corredores EE.UU. y México.</t>
  </si>
  <si>
    <t>Fuente: R.19 GAFI / Decreto 58-2005 / Listas GAFI feb. 2025 | México no figura en lista GAFI pero tiene alertas SIB por corredores de crimen organizado. EE.UU. y España no enlistados</t>
  </si>
  <si>
    <t>Fuente: R.1 GAFI (EBR) / Banguat 2025 | A mayor volumen relativo, mayor exposición sistémica al riesgo FT. EE.UU. (75%). México (7.5%)</t>
  </si>
  <si>
    <t xml:space="preserve">  UMBRALES DEL ÍNDICE DE EXPOSICIÓN FT — NIVELES DE RIESGO Y ACCIONES</t>
  </si>
  <si>
    <t>Obs.</t>
  </si>
  <si>
    <t>0 – 24</t>
  </si>
  <si>
    <t>Monitoreo ordinario; actualización anual del perfil de riesgo del corredor</t>
  </si>
  <si>
    <t>R.1, R.14 GAFI / JM-108-2010</t>
  </si>
  <si>
    <t>Riesgo residual manejable</t>
  </si>
  <si>
    <t>25 – 49</t>
  </si>
  <si>
    <t>DDC Estándar reforzada</t>
  </si>
  <si>
    <t>Monitoreo trimestral; revisión de beneficiarios recurrentes; alerta ante variación de remitente</t>
  </si>
  <si>
    <t>R.16, R.20 GAFI / AG 118-2002</t>
  </si>
  <si>
    <t>Requiere atención sistemática</t>
  </si>
  <si>
    <t>50 – 74</t>
  </si>
  <si>
    <t>Monitoreo mensual; análisis de patrones; reporte a Oficial de Cumplimiento; posible ROS a IVE si se confirma sospecha</t>
  </si>
  <si>
    <t>R.19, R.20 GAFI / Dec. 58-2005 / JM-108-2010</t>
  </si>
  <si>
    <t>Exposición significativa al riesgo FT</t>
  </si>
  <si>
    <t>75 – 100</t>
  </si>
  <si>
    <t>DDC Reforzada + Aprobación Gerencial</t>
  </si>
  <si>
    <t>Monitoreo diario; ROS inmediato a IVE; revisión gerencial; considerar suspensión temporal del corredor; límite por beneficiario</t>
  </si>
  <si>
    <t>R.19, R.20 GAFI / Dec. 58-2005 / AG 86-2006</t>
  </si>
  <si>
    <t>Exposición crítica — acción inmediata</t>
  </si>
  <si>
    <t>Nota: El índice se calcula como: (Pts.País × 0.40) + (Pts.Volumen × 0.25) + (Pts.Frecuencia × 0.20) + (Pts.Montos × 0.15). Rango teórico: 0–100. Base metodológica: R.1 GAFI (EBR) / Decreto 58-2005 / AG 118-2002 / JM-108-2010.</t>
  </si>
  <si>
    <t>CASO 3 — REGISTRO DE TRANSACCIONES DE REMESAS — SISTEMA DE ALERTAS FT/LD</t>
  </si>
  <si>
    <t>Remesadora GuateEnvíos, S.A. | Período: Enero–Junio 2026 | 100 transacciones simuladas | Reglas: R.16 GAFI (Travel Rule) / R.20 GAFI (ROS) / AG 118-2002 / Tipologías GAFILAT 2025</t>
  </si>
  <si>
    <t>Remitente
País</t>
  </si>
  <si>
    <t>Ciudad
Remitente</t>
  </si>
  <si>
    <t>Beneficiario
Nombre</t>
  </si>
  <si>
    <t>Departamento
GT</t>
  </si>
  <si>
    <t>Monto
(USD)</t>
  </si>
  <si>
    <t>Frec.
Mensual</t>
  </si>
  <si>
    <t>Riesgo
Corredor</t>
  </si>
  <si>
    <t>Observación FT</t>
  </si>
  <si>
    <t>Los Ángeles</t>
  </si>
  <si>
    <t>Patrón atípico de frecuencia. Revisar perfil. R.20 GAFI</t>
  </si>
  <si>
    <t>Posible estructuración. R.20 GAFI / AG 118-2002</t>
  </si>
  <si>
    <t>Smurfing transfronterizo. GAFILAT 2025 / R.16 GAFI</t>
  </si>
  <si>
    <t>Variación de remitente. Travel Rule R.16 GAFI</t>
  </si>
  <si>
    <t>03/04/2026</t>
  </si>
  <si>
    <t>17/04/2026</t>
  </si>
  <si>
    <t>19/04/2026</t>
  </si>
  <si>
    <t>24/04/2026</t>
  </si>
  <si>
    <t>26/04/2026</t>
  </si>
  <si>
    <t>29/04/2026</t>
  </si>
  <si>
    <t>02/05/2026</t>
  </si>
  <si>
    <t>04/05/2026</t>
  </si>
  <si>
    <t>06/05/2026</t>
  </si>
  <si>
    <t>09/05/2026</t>
  </si>
  <si>
    <t>11/05/2026</t>
  </si>
  <si>
    <t>13/05/2026</t>
  </si>
  <si>
    <t>16/05/2026</t>
  </si>
  <si>
    <t>23/05/2026</t>
  </si>
  <si>
    <t>28/05/2026</t>
  </si>
  <si>
    <t>30/05/2026</t>
  </si>
  <si>
    <t>14/06/2026</t>
  </si>
  <si>
    <t>17/06/2026</t>
  </si>
  <si>
    <t>19/06/2026</t>
  </si>
  <si>
    <t>21/06/2026</t>
  </si>
  <si>
    <t>19/05/2026</t>
  </si>
  <si>
    <t>11/06/2026</t>
  </si>
  <si>
    <t>04/01/2026</t>
  </si>
  <si>
    <t>27/04/2026</t>
  </si>
  <si>
    <t>Canadá</t>
  </si>
  <si>
    <t>Toronto</t>
  </si>
  <si>
    <t>Felipe Andrés Gómez</t>
  </si>
  <si>
    <t>⚠️</t>
  </si>
  <si>
    <t>Monto recurrente debajo de umbral</t>
  </si>
  <si>
    <t>Italia</t>
  </si>
  <si>
    <t>Roma</t>
  </si>
  <si>
    <t>Luisa María Pérez</t>
  </si>
  <si>
    <t>✔️</t>
  </si>
  <si>
    <t>Alemania</t>
  </si>
  <si>
    <t>Berlín</t>
  </si>
  <si>
    <t>Marco Antonio López</t>
  </si>
  <si>
    <t>Vancouver</t>
  </si>
  <si>
    <t>Rosa Isabel Morales</t>
  </si>
  <si>
    <t>Milán</t>
  </si>
  <si>
    <t>Carlos Humberto Díaz</t>
  </si>
  <si>
    <t>Monto cercano a umbral USD 500</t>
  </si>
  <si>
    <t>Múnich</t>
  </si>
  <si>
    <t>Ana Patricia Ruiz</t>
  </si>
  <si>
    <t>Montreal</t>
  </si>
  <si>
    <t>Diego Alejandro Soto</t>
  </si>
  <si>
    <t>Sandra Verónica Cruz</t>
  </si>
  <si>
    <t>Juan Pablo Herrera</t>
  </si>
  <si>
    <t>María Fernanda López</t>
  </si>
  <si>
    <t>Monto cercano a umbral + alta frecuencia</t>
  </si>
  <si>
    <t>Nápoles</t>
  </si>
  <si>
    <t>Roberto Luis Vargas</t>
  </si>
  <si>
    <t>Hamburgo</t>
  </si>
  <si>
    <t>Patricia Elena Castillo</t>
  </si>
  <si>
    <t>Calgary</t>
  </si>
  <si>
    <t>Ernesto Miguel Morales</t>
  </si>
  <si>
    <t>Turín</t>
  </si>
  <si>
    <t>Gloria Beatriz Ramírez</t>
  </si>
  <si>
    <t>Colonia</t>
  </si>
  <si>
    <t>Víctor Manuel Soto</t>
  </si>
  <si>
    <t>Ottawa</t>
  </si>
  <si>
    <t>Claudia Isabel Méndez</t>
  </si>
  <si>
    <t>Florencia</t>
  </si>
  <si>
    <t>Andrés Felipe Torres</t>
  </si>
  <si>
    <t>Monto cercano a umbral</t>
  </si>
  <si>
    <t>Stuttgart</t>
  </si>
  <si>
    <t>Mónica Patricia Cruz</t>
  </si>
  <si>
    <t>CASO 3 — ÍNDICE DE EXPOSICIÓN AL RIESGO FT POR CORREDOR DE REMESAS</t>
  </si>
  <si>
    <t>Remesadora GuateEnvíos, S.A. | Período: Enero–Junio 2026 | Metodología: EBR (R.1 GAFI) | Ponderación: 4 indicadores con pesos diferenciados</t>
  </si>
  <si>
    <t>Vol. Simulado
(USD)</t>
  </si>
  <si>
    <t>% del Total
Remesas</t>
  </si>
  <si>
    <t>Pts. País
(×0.40)</t>
  </si>
  <si>
    <t>Pts. Volumen
(×0.25)</t>
  </si>
  <si>
    <t>Pts. Frecuencia
(×0.20)</t>
  </si>
  <si>
    <t>Pts. Montos
(×0.15)</t>
  </si>
  <si>
    <t>Índice de
Exposición FT</t>
  </si>
  <si>
    <t>Principal corredor. País no en lista GAFI. Volumen &gt;50%. Frecuencia media-alta por montos USD 499 recurrentes. Estructuración documentada.</t>
  </si>
  <si>
    <t>Corredor de alto riesgo FT. Mezcla/alto riesgo geopolítico. Volumen 5-15%. Alta frecuencia + múltiples remitentes confirmados. Montos cercanos a umbral frecuentes. Tipología GAFILAT 2025.</t>
  </si>
  <si>
    <t>Corredor de menor riesgo. España no en lista GAFI. Volumen &lt;5%. Frecuencia normal, remitentes estables. Sin patrones de estructuración detectados.</t>
  </si>
  <si>
    <t>Corredor agregado con países de diverso riesgo. Algunos emisores en lista gris GAFI. Volumen 5-15%. Frecuencia media (pts.18). Montos atípicos ocasionales.</t>
  </si>
  <si>
    <t>Nota metodológica: El índice de exposición FT se calcula como suma ponderada de cuatro indicadores escalados (0–100). Fórmula: Índice = Pts.País×0.40 + Pts.Volumen×0.25 + Pts.Frecuencia×0.20 + Pts.Montos×0.15. Los puntajes de cada indicador se obtienen de las tablas de la hoja Parámetros. Base: R.1 GAFI (EBR) / Decreto 58-2005 / JM-108-2010 / Tipologías GAFILAT 2025.</t>
  </si>
  <si>
    <t>CASO 3 — MEDIDAS DE MITIGACIÓN DEL RIESGO FT POR CORREDOR DE REMESAS</t>
  </si>
  <si>
    <t>Remesadora GuateEnvíos, S.A. | Período: Enero–Junio 2026 | Base: Decreto 58-2005 / JM-108-2010 / R.14, R.16, R.19, R.20 GAFI / Tipologías GAFILAT 2025</t>
  </si>
  <si>
    <t>Índice FT</t>
  </si>
  <si>
    <t>Medidas de Mitigación Específicas</t>
  </si>
  <si>
    <t>Acción Inmediata Requerida</t>
  </si>
  <si>
    <t>1. DDC Reforzada en el 100% de transacciones del corredor.
2. Monitoreo diario de beneficiarios recurrentes y variación de remitente.
3. Límite individual: máximo USD 1,500/mes por beneficiario.
4. Verificación de origen de fondos para montos &gt;USD 1,000.
5. Reporte automático a IVE de operaciones sospechosas (ROS).
6. Capacitación específica al personal sobre tipologías FT en corredor México.</t>
  </si>
  <si>
    <t>ROS a IVE + revisión gerencial inmediata. Evaluar suspensión temporal del corredor si patrón de fraccionamiento se confirma.</t>
  </si>
  <si>
    <t>Dec. 58-2005 / R.19, R.20 GAFI / AG 86-2006 / JM-108-2010</t>
  </si>
  <si>
    <t>1. DDC Reforzada en el 50% de transacciones (beneficiarios de mayor riesgo).
2. Identificar países específicos del segmento 'Otros' en lista gris GAFI.
3. Monitoreo intensivo de beneficiarios recurrentes.
4. Verificación de origen de fondos para montos &gt;USD 2,000.
5. Actualización mensual de listas GAFI para países del segmento.</t>
  </si>
  <si>
    <t>Revisión de beneficiarios del segmento 'Otros' con perfil de alto riesgo. Emitir ROS si se detectan patrones de múltiples remitentes.</t>
  </si>
  <si>
    <t>1. Monitoreo automatizado de montos USD 495–499 (señal estructuración).
2. Análisis de patrones de múltiples remitentes por beneficiario.
3. DDC Reforzada para beneficiarios que reciben &gt;5 remesas/mes.
4. Reportes periódicos a SIB y revisión trimestral del corredor.
5. Aplicar Travel Rule (R.16 GAFI) en todas las transacciones.</t>
  </si>
  <si>
    <t>Revisión de los 12 beneficiarios marcados con alerta de estructuración. Actualizar perfil de riesgo del corredor si patrón persiste en tecer trimestre de 2026.</t>
  </si>
  <si>
    <t>R.16, R.20 GAFI / AG 118-2002 / GAFILAT 2025 (estructuración)</t>
  </si>
  <si>
    <t>1. DDC Estándar con revisión semestral del corredor.
2. Revisión aleatoria del 20% de transacciones por mes.
3. Monitoreo de variación de remitentes (señal de alerta detectada en trans. #9).
4. Actualización anual del perfil de riesgo del corredor.
5. Verificar que España mantenga su estatus fuera de lista gris GAFI.</t>
  </si>
  <si>
    <t>Investigar la transacción #9 (variación de remitente detectada). Sin medidas adicionales urgentes si el patrón no se repite.</t>
  </si>
  <si>
    <t>R.14, R.20 GAFI / JM-108-2010 / AG 118-2002</t>
  </si>
  <si>
    <t xml:space="preserve">  MEDIDAS GENERALES — TODA LA REMESADORA (Independiente del Corredor)</t>
  </si>
  <si>
    <t>Medida</t>
  </si>
  <si>
    <t>Frecuencia</t>
  </si>
  <si>
    <t>Registro y conservación</t>
  </si>
  <si>
    <t>Conservar registros de todas las transacciones por mínimo 5 años. Incluir: datos del remitente, beneficiario, monto, fecha, canal y corredor.</t>
  </si>
  <si>
    <t>Permanente</t>
  </si>
  <si>
    <t>AG 118-2002 / Dec. 67-2001 / R.11 GAFI</t>
  </si>
  <si>
    <t>Sistema de alertas</t>
  </si>
  <si>
    <t>Implementar o actualizar sistema de alertas automáticas para detectar: montos USD 495-499, frecuencia &gt;5 transacciones/mes por beneficiario, variación de remitente, y montos &gt;USD 1,500 en corredor México.</t>
  </si>
  <si>
    <t>Inmediato</t>
  </si>
  <si>
    <t>JM-108-2010 / R.20 GAFI</t>
  </si>
  <si>
    <t>Capacitación del personal</t>
  </si>
  <si>
    <t>Programa anual de capacitación ALD/FT diferenciado por rol: agentes de recepción (tipologías de estructuración), analistas (patrones FT), gerencia (marcos regulatorios y ROS).</t>
  </si>
  <si>
    <t>JM-108-2010 / R.18 GAFI</t>
  </si>
  <si>
    <t>Actualización de listas GAFI</t>
  </si>
  <si>
    <t>Revisar y actualizar las listas GAFI (negra y gris) con frecuencia mínima bimestral (GAFI publica en febrero y octubre). Actualizar inmediatamente los puntajes del Índice de Exposición FT.</t>
  </si>
  <si>
    <t>Bimestral</t>
  </si>
  <si>
    <t>R.19 GAFI / Dec. 58-2005</t>
  </si>
  <si>
    <t>Auditoría interna</t>
  </si>
  <si>
    <t>Realizar auditoría interna anual del programa ALD/FT específicamente para el módulo de remesas. Evaluar efectividad del sistema de alertas y del Índice FT.</t>
  </si>
  <si>
    <t>Reporte a Banguat / SIB</t>
  </si>
  <si>
    <t>Cumplir con reportes estadísticos de volúmenes de remesas al Banguat (Decreto 94-2000 / JM-129-2001) y reportes de cumplimiento ALD/FT a la SIB.</t>
  </si>
  <si>
    <t>Dec. 94-2000 / JM-129-2001 / JM-108-2010</t>
  </si>
  <si>
    <t>Fuentes: Decreto 67-2001 / Decreto 58-2005 / AG 86-2006 / AG 118-2002 / Decreto 94-2000 / JM-129-2001 / JM-108-2010 / R.1, R.11, R.14, R.16, R.18, R.19, R.20 GAFI (2023) / Informe de Tipologías Regionales LA/FT GAFILAT 2025 (Presidencia pro tempore Guatemala).</t>
  </si>
  <si>
    <t>CASO 3 — RESUMEN EJECUTIVO: EXPOSICIÓN FT POR CORREDOR DE REMESAS</t>
  </si>
  <si>
    <t xml:space="preserve">  RANKING DE CORREDORES POR ÍNDICE DE EXPOSICIÓN FT</t>
  </si>
  <si>
    <t>Volumen (USD)</t>
  </si>
  <si>
    <t xml:space="preserve">  INDICADORES CLAVE DEL PERÍODO</t>
  </si>
  <si>
    <t>Unidad</t>
  </si>
  <si>
    <t>Transacciones</t>
  </si>
  <si>
    <t>Período enero–junio 2026</t>
  </si>
  <si>
    <t>Total alertas FT generadas</t>
  </si>
  <si>
    <t>Incluye estructuración, alta frecuencia, múltiples remitentes y variación de remitente</t>
  </si>
  <si>
    <t>Monto total transacciones</t>
  </si>
  <si>
    <t>USD</t>
  </si>
  <si>
    <t>Volumen simulado del período</t>
  </si>
  <si>
    <t>Monto en transacciones con alerta</t>
  </si>
  <si>
    <t>Fondos con señales de alerta FT que requieren revisión</t>
  </si>
  <si>
    <t>Corredor con mayor riesgo FT</t>
  </si>
  <si>
    <t>Índice 82/100 (CRÍTICO) — Mayor % de alertas y múltiples tipologías GAFILAT detectadas</t>
  </si>
  <si>
    <t>Tipología más frecuente</t>
  </si>
  <si>
    <t>Consistent con smurfing transfronterizo documentado en GAFILAT 2025</t>
  </si>
  <si>
    <t>Corredor con mayor volumen</t>
  </si>
  <si>
    <t>75% del total; aunque índice ALTO (65), volumen genera mayor exposición absoluta</t>
  </si>
  <si>
    <t>Guatemala en ranking Centroamérica</t>
  </si>
  <si>
    <t>1er lugar receptor de remesas</t>
  </si>
  <si>
    <t>~19% del PIB guatemalteco en 2024 (USD 21,009M) — Banguat</t>
  </si>
  <si>
    <t xml:space="preserve">  DESGLOSE DE ALERTAS POR TIPO (Tipologías GAFILAT 2025)</t>
  </si>
  <si>
    <t>Tipología GAFILAT</t>
  </si>
  <si>
    <t>Normativa</t>
  </si>
  <si>
    <t>Fraccionamiento / Pitufeo</t>
  </si>
  <si>
    <t>AG 118-2002 / GAFILAT 2025</t>
  </si>
  <si>
    <t>Múltiples remitentes + alta frecuencia</t>
  </si>
  <si>
    <t>Smurfing + pitufeo</t>
  </si>
  <si>
    <t>R.16, R.20 GAFI / GAFILAT 2025</t>
  </si>
  <si>
    <t>Estructuración + fraccionamiento</t>
  </si>
  <si>
    <t>AG 118-2002 + R.16 GAFI</t>
  </si>
  <si>
    <t>Smurfing transfronterizo</t>
  </si>
  <si>
    <t>Estructuración (Structuring)</t>
  </si>
  <si>
    <t>Conclusión: El corredor México representa el mayor riesgo FT con índice 82/100 (CRÍTICO), principalmente por tipologías de smurfing transfronterizo y estructuración documentadas en GAFILAT 2025. El corredor EE.UU., aunque de menor riesgo relativo (índice 65/ALTO), genera la mayor exposición absoluta por su volumen (75% del total de remesas). Se recomienda priorizar medidas de mitigación en ambos corredores con base en el Decreto 58-2005, JM-108-2010 y R.19-R.20 GAFI.</t>
  </si>
  <si>
    <t>DASHBOARD DE RIESGO ALD/FT — ANÁLISIS VISUAL DE LOS TRES CASOS PRÁCTICOS</t>
  </si>
  <si>
    <t>Remesadora GuateEnvíos / Cooperativa Futuro Seguro / Banco El Amanecer  |  Período: Enero–Junio 2026  |  Base: JM-108-2010 / Dec. 67-2001 / Dec. 58-2005 / GAFI</t>
  </si>
  <si>
    <t>CASO 1 — BANCO COMERCIAL: MATRIZ DE RIESGO ALD/FT</t>
  </si>
  <si>
    <t>CASO 2 — COOPERATIVA: MONITOREO DE TRANSACCIONES</t>
  </si>
  <si>
    <t>CASO 3 — REMESADORA: EXPOSICIÓN FT POR CORREDOR</t>
  </si>
  <si>
    <t>CLIENTES EN RIESGO ALTO/CRÍTICO</t>
  </si>
  <si>
    <t>% TRANSACCIONES CON ALERTA</t>
  </si>
  <si>
    <t>ÍNDICE FT CORREDOR CRÍTICO</t>
  </si>
  <si>
    <t>PUNTAJE PROMEDIO PONDERADO</t>
  </si>
  <si>
    <t>SOCIOS CON AL MENOS 1 ALERTA</t>
  </si>
  <si>
    <t>TRANSACCIONES CON ALERTA FT</t>
  </si>
  <si>
    <t>33 / 70</t>
  </si>
  <si>
    <t>GRÁFICA 1 — Distribución de cartera por nivel de riesgo (Caso 1)</t>
  </si>
  <si>
    <t>GRÁFICA 3 — Alertas por tipo de señal (Caso 2)</t>
  </si>
  <si>
    <t>GRÁFICA 5 — Índice FT y % de alertas por corredor (Caso 3)</t>
  </si>
  <si>
    <t>Clientes</t>
  </si>
  <si>
    <t>Muestra la proporción de clientes clasificados en cada nivel de riesgo ALD/FT. El 44% en niveles ALTO/CRÍTICO indica exposición significativa que requiere DDC Reforzada.</t>
  </si>
  <si>
    <t>Desglosa las 122 alertas generadas por tipo. El dominio de 'Monto alto + Inconsistencia' y 'Fraccionamiento' indica que los controles deben enfocarse en perfiles económicos desactualizados.</t>
  </si>
  <si>
    <t>Relaciona el nivel de riesgo FT (índice) con la tasa de alertas generadas por corredor. México lidera en riesgo; EE.UU. lidera en volumen absoluto de alertas por su peso en el total.</t>
  </si>
  <si>
    <t>Fuente: Hoja: Caso 1 (Resumen Ejecutivo) | Banco El Amanecer S.A. | Junio 2026</t>
  </si>
  <si>
    <t>Fuente: Hoja: Caso 2 (Resumen Ejecutivo) | Cooperativa Futuro Seguro | Junio 2026</t>
  </si>
  <si>
    <t>Fuente: Hoja: Caso 3 (Índice Exposición FT) / Caso 3 (Resumen Ejecutivo) | Remesadora GuateEnvíos | Junio 2026</t>
  </si>
  <si>
    <t>Pts.Tipo</t>
  </si>
  <si>
    <t>Pts.Canal</t>
  </si>
  <si>
    <t>Pts.Zona</t>
  </si>
  <si>
    <t>Pts.Antig.</t>
  </si>
  <si>
    <t>Individual</t>
  </si>
  <si>
    <t>Jurídica</t>
  </si>
  <si>
    <t>PEP</t>
  </si>
  <si>
    <t>GRÁFICA 2 — Puntaje promedio por factor según tipo de cliente (Caso 1)</t>
  </si>
  <si>
    <t>GRÁFICA 6 — Distribución de alertas FT por tipología GAFILAT (Caso 3)</t>
  </si>
  <si>
    <t>Compara cómo cada tipo de cliente puntúa en los cuatro factores de la matriz. Los No Residentes y PEPs concentran los puntajes más altos, justificando la DDC Reforzada obligatoria.</t>
  </si>
  <si>
    <t>Muestra la tendencia mensual de alertas generadas sobre el total de transacciones. La tasa se mantiene elevada (promedio 40.7%), lo que sugiere necesidad de recalibrar umbrales.</t>
  </si>
  <si>
    <t>El 38% de las alertas corresponde a 'Alta frecuencia + monto umbral', tipología de estructuración documentada en GAFILAT 2025. Smurfing transfronterizo representa el 35% adicional.</t>
  </si>
  <si>
    <t>Alertas</t>
  </si>
  <si>
    <t>Fuente: Hoja: Caso 1 (Matriz de Clientes) | Elaboración propia con base en puntajes individuales | Junio 2026</t>
  </si>
  <si>
    <t>Fuente: Hoja: Caso 2 (Transacciones) | Datos agregados por mes | Cooperativa Futuro Seguro | Junio 2026</t>
  </si>
  <si>
    <t>Fuente: Hoja: Caso 3 (Resumen Ejecutivo) | Tipologías GAFILAT 2025 | Remesadora GuateEnvíos | Junio 2026</t>
  </si>
  <si>
    <t>Enero</t>
  </si>
  <si>
    <t>Febrero</t>
  </si>
  <si>
    <t>Marzo</t>
  </si>
  <si>
    <t>Abril</t>
  </si>
  <si>
    <t>Mayo</t>
  </si>
  <si>
    <t>Junio</t>
  </si>
  <si>
    <t>Tipología</t>
  </si>
  <si>
    <t>Alta frec. + monto umbral</t>
  </si>
  <si>
    <t>NOTA METODOLÓGICA: Los datos del dashboard provienen de las hojas de resumen ejecutivo de cada caso. Caso 1 → Caso 1 (Resumen Ejecutivo). Caso 2 → Caso 2 (Resumen Ejecutivo). Caso 3 → Caso 3 (Resumen Ejecutivo) y Caso 3 (Índice Exposición FT). Base normativa: Decreto 67-2001 / Decreto 58-2005 / AG 118-2002 / JM-108-2010 / 40 Recomendaciones GAFI (rev. 2023) / Informe Tipologías GAFILAT 2025.</t>
  </si>
  <si>
    <t>Mult. rem. + alta frec.</t>
  </si>
  <si>
    <t>Monto recurrente</t>
  </si>
  <si>
    <t>Monto cercano umbral</t>
  </si>
  <si>
    <t>GRÁFICA 4 — Evolución mensual en 2026: alertas vs. transacciones totales (Caso 2)</t>
  </si>
  <si>
    <t>MATRIZ DE RIESGO ALD/FT — CARTERA DE CLIENTES</t>
  </si>
  <si>
    <t>RESUMEN EJECUTIVO — SEMÁFORO DE RIESGO ALD/FT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</si>
</sst>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
  </numFmts>
  <fonts count="45" x14ac:knownFonts="1">
    <font>
      <sz val="11"/>
      <color theme="1"/>
      <name val="Aptos Narrow"/>
      <family val="2"/>
      <scheme val="minor"/>
    </font>
    <font>
      <sz val="11"/>
      <name val="Calibri"/>
      <family val="2"/>
    </font>
    <font>
      <sz val="9"/>
      <color rgb="FF000000"/>
      <name val="Arial"/>
      <family val="2"/>
    </font>
    <font>
      <sz val="11"/>
      <color theme="1"/>
      <name val="Aptos Narrow"/>
      <family val="2"/>
      <scheme val="minor"/>
    </font>
    <font>
      <sz val="11"/>
      <color theme="1"/>
      <name val="Calibri"/>
      <family val="2"/>
      <charset val="1"/>
    </font>
    <font>
      <b/>
      <sz val="10"/>
      <color rgb="FFFFFFFF"/>
      <name val="Arial"/>
      <family val="2"/>
    </font>
    <font>
      <b/>
      <i/>
      <sz val="11"/>
      <color rgb="FFFFFFFF"/>
      <name val="Arial"/>
      <family val="2"/>
    </font>
    <font>
      <b/>
      <sz val="15"/>
      <color rgb="FFFFFFFF"/>
      <name val="Arial"/>
      <family val="2"/>
    </font>
    <font>
      <i/>
      <sz val="8"/>
      <color rgb="FF595959"/>
      <name val="Arial"/>
      <family val="2"/>
    </font>
    <font>
      <b/>
      <sz val="9"/>
      <color rgb="FFFFFFFF"/>
      <name val="Arial"/>
      <family val="2"/>
    </font>
    <font>
      <b/>
      <sz val="13"/>
      <color rgb="FFFFFFFF"/>
      <name val="Arial"/>
      <family val="2"/>
    </font>
    <font>
      <i/>
      <sz val="9"/>
      <color rgb="FF595959"/>
      <name val="Arial"/>
      <family val="2"/>
    </font>
    <font>
      <b/>
      <sz val="11"/>
      <color rgb="FF9C0006"/>
      <name val="Arial"/>
      <family val="2"/>
    </font>
    <font>
      <b/>
      <sz val="11"/>
      <color rgb="FF974706"/>
      <name val="Arial"/>
      <family val="2"/>
    </font>
    <font>
      <b/>
      <sz val="11"/>
      <color rgb="FF7D6608"/>
      <name val="Arial"/>
      <family val="2"/>
    </font>
    <font>
      <b/>
      <sz val="11"/>
      <color rgb="FF1E5C2E"/>
      <name val="Arial"/>
      <family val="2"/>
    </font>
    <font>
      <sz val="9"/>
      <color rgb="FF1E5C2E"/>
      <name val="Arial"/>
      <family val="2"/>
    </font>
    <font>
      <b/>
      <sz val="9"/>
      <color rgb="FF1E5C2E"/>
      <name val="Arial"/>
      <family val="2"/>
    </font>
    <font>
      <b/>
      <sz val="9"/>
      <color rgb="FF000000"/>
      <name val="Arial"/>
      <family val="2"/>
    </font>
    <font>
      <b/>
      <sz val="9"/>
      <color rgb="FF9C0006"/>
      <name val="Arial"/>
      <family val="2"/>
    </font>
    <font>
      <b/>
      <sz val="9"/>
      <color rgb="FF974706"/>
      <name val="Arial"/>
      <family val="2"/>
    </font>
    <font>
      <b/>
      <sz val="9"/>
      <color rgb="FF7D6608"/>
      <name val="Arial"/>
      <family val="2"/>
    </font>
    <font>
      <b/>
      <sz val="11"/>
      <color rgb="FFFFFFFF"/>
      <name val="Arial"/>
      <family val="2"/>
    </font>
    <font>
      <b/>
      <sz val="14"/>
      <color rgb="FF9C0006"/>
      <name val="Arial"/>
      <family val="2"/>
    </font>
    <font>
      <b/>
      <sz val="16"/>
      <color rgb="FF9C0006"/>
      <name val="Arial"/>
      <family val="2"/>
    </font>
    <font>
      <b/>
      <sz val="14"/>
      <color rgb="FF974706"/>
      <name val="Arial"/>
      <family val="2"/>
    </font>
    <font>
      <b/>
      <sz val="16"/>
      <color rgb="FF974706"/>
      <name val="Arial"/>
      <family val="2"/>
    </font>
    <font>
      <b/>
      <sz val="14"/>
      <color rgb="FF7D6608"/>
      <name val="Arial"/>
      <family val="2"/>
    </font>
    <font>
      <b/>
      <sz val="16"/>
      <color rgb="FF7D6608"/>
      <name val="Arial"/>
      <family val="2"/>
    </font>
    <font>
      <b/>
      <sz val="14"/>
      <color rgb="FF1E5C2E"/>
      <name val="Arial"/>
      <family val="2"/>
    </font>
    <font>
      <b/>
      <sz val="16"/>
      <color rgb="FF1E5C2E"/>
      <name val="Arial"/>
      <family val="2"/>
    </font>
    <font>
      <b/>
      <sz val="14"/>
      <color rgb="FFFFFFFF"/>
      <name val="Arial"/>
      <family val="2"/>
    </font>
    <font>
      <sz val="9"/>
      <color rgb="FF7D6608"/>
      <name val="Arial"/>
      <family val="2"/>
    </font>
    <font>
      <sz val="9"/>
      <color rgb="FF9C0006"/>
      <name val="Arial"/>
      <family val="2"/>
    </font>
    <font>
      <sz val="9"/>
      <color rgb="FF974706"/>
      <name val="Arial"/>
      <family val="2"/>
    </font>
    <font>
      <sz val="9"/>
      <color rgb="FF595959"/>
      <name val="Arial"/>
      <family val="2"/>
    </font>
    <font>
      <sz val="11"/>
      <color rgb="FF1E5C2E"/>
      <name val="Arial"/>
      <family val="2"/>
    </font>
    <font>
      <b/>
      <sz val="10"/>
      <color rgb="FF974706"/>
      <name val="Arial"/>
      <family val="2"/>
    </font>
    <font>
      <sz val="10"/>
      <color rgb="FF974706"/>
      <name val="Arial"/>
      <family val="2"/>
    </font>
    <font>
      <b/>
      <sz val="16"/>
      <color rgb="FFFFFFFF"/>
      <name val="Arial"/>
      <family val="2"/>
    </font>
    <font>
      <b/>
      <sz val="9"/>
      <color rgb="FF595959"/>
      <name val="Arial"/>
      <family val="2"/>
    </font>
    <font>
      <b/>
      <sz val="22"/>
      <color rgb="FF9C0006"/>
      <name val="Arial"/>
      <family val="2"/>
    </font>
    <font>
      <b/>
      <sz val="22"/>
      <color rgb="FF974706"/>
      <name val="Arial"/>
      <family val="2"/>
    </font>
    <font>
      <i/>
      <sz val="7"/>
      <color rgb="FF595959"/>
      <name val="Arial"/>
      <family val="2"/>
    </font>
    <font>
      <i/>
      <sz val="11"/>
      <color theme="1"/>
      <name val="Aptos Narrow"/>
      <family val="2"/>
      <scheme val="minor"/>
    </font>
  </fonts>
  <fills count="29">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FFFFFF"/>
        <bgColor rgb="FFF2F2F2"/>
      </patternFill>
    </fill>
    <fill>
      <patternFill patternType="solid">
        <fgColor rgb="FFF2F2F2"/>
        <bgColor rgb="FFFFFFFF"/>
      </patternFill>
    </fill>
    <fill>
      <patternFill patternType="solid">
        <fgColor rgb="FF4472C4"/>
        <bgColor rgb="FF2E5090"/>
      </patternFill>
    </fill>
    <fill>
      <patternFill patternType="solid">
        <fgColor rgb="FF595959"/>
        <bgColor rgb="FF2E5090"/>
      </patternFill>
    </fill>
    <fill>
      <patternFill patternType="solid">
        <fgColor rgb="FF2E5090"/>
        <bgColor rgb="FF1F3864"/>
      </patternFill>
    </fill>
    <fill>
      <patternFill patternType="solid">
        <fgColor rgb="FF1F3864"/>
        <bgColor rgb="FF2E5090"/>
      </patternFill>
    </fill>
    <fill>
      <patternFill patternType="solid">
        <fgColor rgb="FFD6E4F0"/>
        <bgColor rgb="FFC6EFCE"/>
      </patternFill>
    </fill>
    <fill>
      <patternFill patternType="solid">
        <fgColor rgb="FFFFC7CE"/>
        <bgColor rgb="FFFDDCB5"/>
      </patternFill>
    </fill>
    <fill>
      <patternFill patternType="solid">
        <fgColor rgb="FFFDDCB5"/>
        <bgColor rgb="FFFFEB9C"/>
      </patternFill>
    </fill>
    <fill>
      <patternFill patternType="solid">
        <fgColor rgb="FFFFEB9C"/>
        <bgColor rgb="FFFDDCB5"/>
      </patternFill>
    </fill>
    <fill>
      <patternFill patternType="solid">
        <fgColor rgb="FFC6EFCE"/>
        <bgColor rgb="FFD6E4F0"/>
      </patternFill>
    </fill>
    <fill>
      <patternFill patternType="solid">
        <fgColor theme="0"/>
        <bgColor rgb="FFFFFFFF"/>
      </patternFill>
    </fill>
    <fill>
      <patternFill patternType="solid">
        <fgColor rgb="FFFFEB9C"/>
        <bgColor indexed="64"/>
      </patternFill>
    </fill>
    <fill>
      <patternFill patternType="solid">
        <fgColor rgb="FF1F3864"/>
      </patternFill>
    </fill>
    <fill>
      <patternFill patternType="solid">
        <fgColor rgb="FF2E5090"/>
      </patternFill>
    </fill>
    <fill>
      <patternFill patternType="solid">
        <fgColor rgb="FF595959"/>
      </patternFill>
    </fill>
    <fill>
      <patternFill patternType="solid">
        <fgColor rgb="FF4472C4"/>
      </patternFill>
    </fill>
    <fill>
      <patternFill patternType="solid">
        <fgColor rgb="FFFFFFFF"/>
      </patternFill>
    </fill>
    <fill>
      <patternFill patternType="solid">
        <fgColor rgb="FFD6E4F0"/>
      </patternFill>
    </fill>
    <fill>
      <patternFill patternType="solid">
        <fgColor rgb="FFFDDCB5"/>
      </patternFill>
    </fill>
    <fill>
      <patternFill patternType="solid">
        <fgColor rgb="FF9C0006"/>
      </patternFill>
    </fill>
    <fill>
      <patternFill patternType="solid">
        <fgColor theme="3" tint="0.89999084444715716"/>
        <bgColor indexed="64"/>
      </patternFill>
    </fill>
  </fills>
  <borders count="16">
    <border>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top/>
      <bottom style="thin">
        <color rgb="FFBFBFBF"/>
      </bottom>
      <diagonal/>
    </border>
    <border>
      <left style="thin">
        <color rgb="FFBFBFBF"/>
      </left>
      <right/>
      <top style="thin">
        <color rgb="FFBFBFBF"/>
      </top>
      <bottom style="thin">
        <color theme="0" tint="-0.249977111117893"/>
      </bottom>
      <diagonal/>
    </border>
    <border>
      <left/>
      <right/>
      <top style="thin">
        <color rgb="FFBFBFBF"/>
      </top>
      <bottom style="thin">
        <color theme="0" tint="-0.249977111117893"/>
      </bottom>
      <diagonal/>
    </border>
    <border>
      <left/>
      <right/>
      <top style="thin">
        <color rgb="FFBFBFBF"/>
      </top>
      <bottom/>
      <diagonal/>
    </border>
    <border>
      <left style="thin">
        <color rgb="FFBFBFBF"/>
      </left>
      <right/>
      <top/>
      <bottom style="thin">
        <color rgb="FFBFBFBF"/>
      </bottom>
      <diagonal/>
    </border>
    <border>
      <left style="thin">
        <color rgb="FFBFBFBF"/>
      </left>
      <right/>
      <top style="thin">
        <color rgb="FFBFBFBF"/>
      </top>
      <bottom/>
      <diagonal/>
    </border>
    <border>
      <left/>
      <right style="thin">
        <color rgb="FFBFBFBF"/>
      </right>
      <top style="thin">
        <color rgb="FFBFBFBF"/>
      </top>
      <bottom/>
      <diagonal/>
    </border>
    <border>
      <left/>
      <right style="thin">
        <color rgb="FFBFBFBF"/>
      </right>
      <top style="thin">
        <color rgb="FFBFBFBF"/>
      </top>
      <bottom style="thin">
        <color rgb="FFBFBFBF"/>
      </bottom>
      <diagonal/>
    </border>
    <border>
      <left style="thin">
        <color rgb="FFBFBFBF"/>
      </left>
      <right/>
      <top/>
      <bottom/>
      <diagonal/>
    </border>
    <border>
      <left/>
      <right style="thin">
        <color rgb="FFBFBFBF"/>
      </right>
      <top/>
      <bottom/>
      <diagonal/>
    </border>
    <border>
      <left/>
      <right/>
      <top style="thin">
        <color theme="0" tint="-0.249977111117893"/>
      </top>
      <bottom/>
      <diagonal/>
    </border>
    <border>
      <left/>
      <right style="thin">
        <color rgb="FFBFBFBF"/>
      </right>
      <top/>
      <bottom style="thin">
        <color rgb="FFBFBFBF"/>
      </bottom>
      <diagonal/>
    </border>
    <border>
      <left/>
      <right/>
      <top style="thin">
        <color rgb="FFBFBFBF"/>
      </top>
      <bottom style="thin">
        <color rgb="FFBFBFBF"/>
      </bottom>
      <diagonal/>
    </border>
  </borders>
  <cellStyleXfs count="5">
    <xf numFmtId="0" fontId="0" fillId="0" borderId="0"/>
    <xf numFmtId="0" fontId="1" fillId="0" borderId="0"/>
    <xf numFmtId="9" fontId="3" fillId="0" borderId="0" applyFont="0" applyFill="0" applyBorder="0" applyAlignment="0" applyProtection="0"/>
    <xf numFmtId="0" fontId="4" fillId="0" borderId="0"/>
    <xf numFmtId="9" fontId="4" fillId="0" borderId="0" applyFont="0" applyFill="0" applyBorder="0" applyAlignment="0" applyProtection="0"/>
  </cellStyleXfs>
  <cellXfs count="214">
    <xf numFmtId="0" fontId="0" fillId="0" borderId="0" xfId="0"/>
    <xf numFmtId="0" fontId="0" fillId="0" borderId="0" xfId="0" applyAlignment="1">
      <alignment horizontal="center" vertical="center"/>
    </xf>
    <xf numFmtId="0" fontId="0" fillId="0" borderId="0" xfId="0" applyAlignment="1">
      <alignment horizontal="center"/>
    </xf>
    <xf numFmtId="0" fontId="4" fillId="0" borderId="0" xfId="3"/>
    <xf numFmtId="0" fontId="2" fillId="7" borderId="1" xfId="3" applyFont="1" applyFill="1" applyBorder="1" applyAlignment="1">
      <alignment horizontal="left" vertical="center" wrapText="1"/>
    </xf>
    <xf numFmtId="0" fontId="2" fillId="8" borderId="1" xfId="3" applyFont="1" applyFill="1" applyBorder="1" applyAlignment="1">
      <alignment horizontal="left" vertical="center" wrapText="1"/>
    </xf>
    <xf numFmtId="0" fontId="5" fillId="10" borderId="1" xfId="3" applyFont="1" applyFill="1" applyBorder="1" applyAlignment="1">
      <alignment horizontal="center" vertical="center" wrapText="1"/>
    </xf>
    <xf numFmtId="0" fontId="2" fillId="13" borderId="1" xfId="3" applyFont="1" applyFill="1" applyBorder="1" applyAlignment="1">
      <alignment horizontal="left" vertical="center" wrapText="1"/>
    </xf>
    <xf numFmtId="0" fontId="2" fillId="13" borderId="1" xfId="3" applyFont="1" applyFill="1" applyBorder="1" applyAlignment="1">
      <alignment horizontal="center" vertical="center" wrapText="1"/>
    </xf>
    <xf numFmtId="0" fontId="2" fillId="7" borderId="1" xfId="3" applyFont="1" applyFill="1" applyBorder="1" applyAlignment="1">
      <alignment horizontal="center" vertical="center" wrapText="1"/>
    </xf>
    <xf numFmtId="0" fontId="9" fillId="10" borderId="1" xfId="3" applyFont="1" applyFill="1" applyBorder="1" applyAlignment="1">
      <alignment horizontal="center" vertical="center" wrapText="1"/>
    </xf>
    <xf numFmtId="2" fontId="9" fillId="11" borderId="1" xfId="3" applyNumberFormat="1" applyFont="1" applyFill="1" applyBorder="1" applyAlignment="1">
      <alignment horizontal="center" vertical="center" wrapText="1"/>
    </xf>
    <xf numFmtId="0" fontId="9" fillId="11" borderId="1" xfId="3" applyFont="1" applyFill="1" applyBorder="1" applyAlignment="1">
      <alignment horizontal="center" vertical="center" wrapText="1"/>
    </xf>
    <xf numFmtId="0" fontId="4" fillId="11" borderId="1" xfId="3" applyFill="1" applyBorder="1"/>
    <xf numFmtId="2" fontId="2" fillId="7" borderId="1" xfId="3" applyNumberFormat="1" applyFont="1" applyFill="1" applyBorder="1" applyAlignment="1">
      <alignment horizontal="center" vertical="center" wrapText="1"/>
    </xf>
    <xf numFmtId="2" fontId="2" fillId="13" borderId="1" xfId="3" applyNumberFormat="1" applyFont="1" applyFill="1" applyBorder="1" applyAlignment="1">
      <alignment horizontal="center" vertical="center" wrapText="1"/>
    </xf>
    <xf numFmtId="0" fontId="2" fillId="14" borderId="1" xfId="3" applyFont="1" applyFill="1" applyBorder="1" applyAlignment="1">
      <alignment horizontal="left" vertical="center" wrapText="1"/>
    </xf>
    <xf numFmtId="0" fontId="12" fillId="14" borderId="1" xfId="3" applyFont="1" applyFill="1" applyBorder="1" applyAlignment="1">
      <alignment horizontal="center" vertical="center" wrapText="1"/>
    </xf>
    <xf numFmtId="0" fontId="2" fillId="14" borderId="1" xfId="3" applyFont="1" applyFill="1" applyBorder="1" applyAlignment="1">
      <alignment horizontal="center" vertical="center" wrapText="1"/>
    </xf>
    <xf numFmtId="0" fontId="2" fillId="15" borderId="1" xfId="3" applyFont="1" applyFill="1" applyBorder="1" applyAlignment="1">
      <alignment horizontal="left" vertical="center" wrapText="1"/>
    </xf>
    <xf numFmtId="0" fontId="13" fillId="15" borderId="1" xfId="3" applyFont="1" applyFill="1" applyBorder="1" applyAlignment="1">
      <alignment horizontal="center" vertical="center" wrapText="1"/>
    </xf>
    <xf numFmtId="0" fontId="2" fillId="15" borderId="1" xfId="3" applyFont="1" applyFill="1" applyBorder="1" applyAlignment="1">
      <alignment horizontal="center" vertical="center" wrapText="1"/>
    </xf>
    <xf numFmtId="0" fontId="2" fillId="16" borderId="1" xfId="3" applyFont="1" applyFill="1" applyBorder="1" applyAlignment="1">
      <alignment horizontal="left" vertical="center" wrapText="1"/>
    </xf>
    <xf numFmtId="0" fontId="14" fillId="16" borderId="1" xfId="3" applyFont="1" applyFill="1" applyBorder="1" applyAlignment="1">
      <alignment horizontal="center" vertical="center" wrapText="1"/>
    </xf>
    <xf numFmtId="0" fontId="2" fillId="16" borderId="1" xfId="3" applyFont="1" applyFill="1" applyBorder="1" applyAlignment="1">
      <alignment horizontal="center" vertical="center" wrapText="1"/>
    </xf>
    <xf numFmtId="0" fontId="2" fillId="17" borderId="1" xfId="3" applyFont="1" applyFill="1" applyBorder="1" applyAlignment="1">
      <alignment horizontal="left" vertical="center" wrapText="1"/>
    </xf>
    <xf numFmtId="0" fontId="15" fillId="17" borderId="1" xfId="3" applyFont="1" applyFill="1" applyBorder="1" applyAlignment="1">
      <alignment horizontal="center" vertical="center" wrapText="1"/>
    </xf>
    <xf numFmtId="0" fontId="2" fillId="17" borderId="1" xfId="3" applyFont="1" applyFill="1" applyBorder="1" applyAlignment="1">
      <alignment horizontal="center" vertical="center" wrapText="1"/>
    </xf>
    <xf numFmtId="0" fontId="16" fillId="17" borderId="1" xfId="3" applyFont="1" applyFill="1" applyBorder="1" applyAlignment="1">
      <alignment horizontal="left" vertical="center" wrapText="1"/>
    </xf>
    <xf numFmtId="0" fontId="17" fillId="17" borderId="1" xfId="3" applyFont="1" applyFill="1" applyBorder="1" applyAlignment="1">
      <alignment horizontal="center" vertical="center" wrapText="1"/>
    </xf>
    <xf numFmtId="2" fontId="18" fillId="17" borderId="1" xfId="3" applyNumberFormat="1" applyFont="1" applyFill="1" applyBorder="1" applyAlignment="1">
      <alignment horizontal="center" vertical="center" wrapText="1"/>
    </xf>
    <xf numFmtId="0" fontId="2" fillId="8" borderId="1" xfId="3" applyFont="1" applyFill="1" applyBorder="1" applyAlignment="1">
      <alignment horizontal="center" vertical="center" wrapText="1"/>
    </xf>
    <xf numFmtId="164" fontId="2" fillId="7" borderId="1" xfId="3" applyNumberFormat="1" applyFont="1" applyFill="1" applyBorder="1" applyAlignment="1">
      <alignment horizontal="center" vertical="center" wrapText="1"/>
    </xf>
    <xf numFmtId="164" fontId="2" fillId="8" borderId="1" xfId="3" applyNumberFormat="1" applyFont="1" applyFill="1" applyBorder="1" applyAlignment="1">
      <alignment horizontal="center" vertical="center" wrapText="1"/>
    </xf>
    <xf numFmtId="0" fontId="9" fillId="12" borderId="1" xfId="3" applyFont="1" applyFill="1" applyBorder="1" applyAlignment="1">
      <alignment horizontal="center" vertical="center" wrapText="1"/>
    </xf>
    <xf numFmtId="0" fontId="19" fillId="14" borderId="1" xfId="3" applyFont="1" applyFill="1" applyBorder="1" applyAlignment="1">
      <alignment horizontal="left" vertical="center" wrapText="1"/>
    </xf>
    <xf numFmtId="0" fontId="20" fillId="15" borderId="1" xfId="3" applyFont="1" applyFill="1" applyBorder="1" applyAlignment="1">
      <alignment horizontal="left" vertical="center" wrapText="1"/>
    </xf>
    <xf numFmtId="0" fontId="21" fillId="16" borderId="1" xfId="3" applyFont="1" applyFill="1" applyBorder="1" applyAlignment="1">
      <alignment horizontal="left" vertical="center" wrapText="1"/>
    </xf>
    <xf numFmtId="0" fontId="17" fillId="17" borderId="1" xfId="3" applyFont="1" applyFill="1" applyBorder="1" applyAlignment="1">
      <alignment horizontal="left" vertical="center" wrapText="1"/>
    </xf>
    <xf numFmtId="0" fontId="5" fillId="11" borderId="1" xfId="3" applyFont="1" applyFill="1" applyBorder="1" applyAlignment="1">
      <alignment horizontal="center" vertical="center" wrapText="1"/>
    </xf>
    <xf numFmtId="165" fontId="5" fillId="11" borderId="1" xfId="3" applyNumberFormat="1" applyFont="1" applyFill="1" applyBorder="1" applyAlignment="1">
      <alignment horizontal="center" vertical="center" wrapText="1"/>
    </xf>
    <xf numFmtId="9" fontId="12" fillId="14" borderId="1" xfId="4" applyFont="1" applyFill="1" applyBorder="1" applyAlignment="1">
      <alignment horizontal="center" vertical="center" wrapText="1"/>
    </xf>
    <xf numFmtId="0" fontId="23" fillId="14" borderId="1" xfId="3" applyFont="1" applyFill="1" applyBorder="1" applyAlignment="1">
      <alignment horizontal="center" vertical="center" wrapText="1"/>
    </xf>
    <xf numFmtId="0" fontId="24" fillId="14" borderId="1" xfId="3" applyFont="1" applyFill="1" applyBorder="1" applyAlignment="1">
      <alignment horizontal="center" vertical="center" wrapText="1"/>
    </xf>
    <xf numFmtId="9" fontId="13" fillId="15" borderId="1" xfId="4" applyFont="1" applyFill="1" applyBorder="1" applyAlignment="1">
      <alignment horizontal="center" vertical="center" wrapText="1"/>
    </xf>
    <xf numFmtId="0" fontId="25" fillId="15" borderId="1" xfId="3" applyFont="1" applyFill="1" applyBorder="1" applyAlignment="1">
      <alignment horizontal="center" vertical="center" wrapText="1"/>
    </xf>
    <xf numFmtId="0" fontId="26" fillId="15" borderId="1" xfId="3" applyFont="1" applyFill="1" applyBorder="1" applyAlignment="1">
      <alignment horizontal="center" vertical="center" wrapText="1"/>
    </xf>
    <xf numFmtId="9" fontId="14" fillId="16" borderId="1" xfId="4" applyFont="1" applyFill="1" applyBorder="1" applyAlignment="1">
      <alignment horizontal="center" vertical="center" wrapText="1"/>
    </xf>
    <xf numFmtId="0" fontId="27" fillId="16" borderId="1" xfId="3" applyFont="1" applyFill="1" applyBorder="1" applyAlignment="1">
      <alignment horizontal="center" vertical="center" wrapText="1"/>
    </xf>
    <xf numFmtId="0" fontId="28" fillId="16" borderId="1" xfId="3" applyFont="1" applyFill="1" applyBorder="1" applyAlignment="1">
      <alignment horizontal="center" vertical="center" wrapText="1"/>
    </xf>
    <xf numFmtId="9" fontId="15" fillId="17" borderId="1" xfId="4" applyFont="1" applyFill="1" applyBorder="1" applyAlignment="1">
      <alignment horizontal="center" vertical="center" wrapText="1"/>
    </xf>
    <xf numFmtId="0" fontId="29" fillId="17" borderId="1" xfId="3" applyFont="1" applyFill="1" applyBorder="1" applyAlignment="1">
      <alignment horizontal="center" vertical="center" wrapText="1"/>
    </xf>
    <xf numFmtId="0" fontId="30" fillId="17" borderId="1" xfId="3" applyFont="1" applyFill="1" applyBorder="1" applyAlignment="1">
      <alignment horizontal="center" vertical="center" wrapText="1"/>
    </xf>
    <xf numFmtId="0" fontId="11" fillId="18" borderId="0" xfId="3" applyFont="1" applyFill="1" applyAlignment="1">
      <alignment horizontal="center" vertical="center" wrapText="1"/>
    </xf>
    <xf numFmtId="0" fontId="9" fillId="22" borderId="1" xfId="0" applyFont="1" applyFill="1" applyBorder="1" applyAlignment="1">
      <alignment horizontal="center" vertical="center" wrapText="1"/>
    </xf>
    <xf numFmtId="0" fontId="2" fillId="24"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2" fillId="25" borderId="1" xfId="0" applyFont="1" applyFill="1" applyBorder="1" applyAlignment="1">
      <alignment horizontal="left" vertical="center" wrapText="1"/>
    </xf>
    <xf numFmtId="0" fontId="2" fillId="25" borderId="1" xfId="0" applyFont="1" applyFill="1" applyBorder="1" applyAlignment="1">
      <alignment horizontal="center" vertical="center" wrapText="1"/>
    </xf>
    <xf numFmtId="0" fontId="2" fillId="24" borderId="1" xfId="0" applyFont="1" applyFill="1" applyBorder="1" applyAlignment="1">
      <alignment horizontal="center" vertical="center" wrapText="1"/>
    </xf>
    <xf numFmtId="0" fontId="2" fillId="26" borderId="1" xfId="0" applyFont="1" applyFill="1" applyBorder="1" applyAlignment="1">
      <alignment horizontal="left" vertical="center" wrapText="1"/>
    </xf>
    <xf numFmtId="0" fontId="20" fillId="26" borderId="1" xfId="0" applyFont="1" applyFill="1" applyBorder="1" applyAlignment="1">
      <alignment horizontal="center" vertical="center" wrapText="1"/>
    </xf>
    <xf numFmtId="0" fontId="2" fillId="4" borderId="1" xfId="0" applyFont="1" applyFill="1" applyBorder="1" applyAlignment="1">
      <alignment horizontal="left" vertical="center" wrapText="1"/>
    </xf>
    <xf numFmtId="0" fontId="19" fillId="4"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17" fillId="3" borderId="1" xfId="0" applyFont="1" applyFill="1" applyBorder="1" applyAlignment="1">
      <alignment horizontal="center" vertical="center" wrapText="1"/>
    </xf>
    <xf numFmtId="0" fontId="8" fillId="6" borderId="4" xfId="0" applyFont="1" applyFill="1" applyBorder="1" applyAlignment="1">
      <alignment vertical="center"/>
    </xf>
    <xf numFmtId="0" fontId="8" fillId="6" borderId="5" xfId="0" applyFont="1" applyFill="1" applyBorder="1" applyAlignment="1">
      <alignment vertical="center"/>
    </xf>
    <xf numFmtId="0" fontId="8" fillId="6" borderId="5" xfId="0" applyFont="1" applyFill="1" applyBorder="1" applyAlignment="1">
      <alignment vertical="center" wrapText="1"/>
    </xf>
    <xf numFmtId="0" fontId="8" fillId="6" borderId="6" xfId="0" applyFont="1" applyFill="1" applyBorder="1" applyAlignment="1">
      <alignment vertical="center" wrapText="1"/>
    </xf>
    <xf numFmtId="0" fontId="2" fillId="19" borderId="1" xfId="0" applyFont="1" applyFill="1" applyBorder="1" applyAlignment="1">
      <alignment horizontal="left" vertical="center" wrapText="1"/>
    </xf>
    <xf numFmtId="0" fontId="21" fillId="19" borderId="1" xfId="0" applyFont="1" applyFill="1" applyBorder="1" applyAlignment="1">
      <alignment horizontal="center" vertical="center" wrapText="1"/>
    </xf>
    <xf numFmtId="0" fontId="8" fillId="6" borderId="8" xfId="0" applyFont="1" applyFill="1" applyBorder="1" applyAlignment="1">
      <alignment vertical="center"/>
    </xf>
    <xf numFmtId="0" fontId="0" fillId="0" borderId="13" xfId="0" applyBorder="1"/>
    <xf numFmtId="0" fontId="9" fillId="20"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3" fontId="2" fillId="6" borderId="1" xfId="0" applyNumberFormat="1" applyFont="1" applyFill="1" applyBorder="1" applyAlignment="1">
      <alignment horizontal="center" vertical="center" wrapText="1"/>
    </xf>
    <xf numFmtId="3" fontId="2" fillId="24" borderId="1" xfId="0" applyNumberFormat="1" applyFont="1" applyFill="1" applyBorder="1" applyAlignment="1">
      <alignment horizontal="center" vertical="center" wrapText="1"/>
    </xf>
    <xf numFmtId="0" fontId="21" fillId="5" borderId="1" xfId="0" applyFont="1" applyFill="1" applyBorder="1" applyAlignment="1">
      <alignment horizontal="center" vertical="center" wrapText="1"/>
    </xf>
    <xf numFmtId="0" fontId="9" fillId="20" borderId="11" xfId="0" applyFont="1" applyFill="1" applyBorder="1" applyAlignment="1">
      <alignment horizontal="center" vertical="center" wrapText="1"/>
    </xf>
    <xf numFmtId="0" fontId="18" fillId="6" borderId="1" xfId="0" applyFont="1" applyFill="1" applyBorder="1" applyAlignment="1">
      <alignment horizontal="center" vertical="center" wrapText="1"/>
    </xf>
    <xf numFmtId="0" fontId="9" fillId="21" borderId="1" xfId="0" applyFont="1" applyFill="1" applyBorder="1" applyAlignment="1">
      <alignment horizontal="center" vertical="center" wrapText="1"/>
    </xf>
    <xf numFmtId="10" fontId="2" fillId="24" borderId="1" xfId="2" applyNumberFormat="1" applyFont="1" applyFill="1" applyBorder="1" applyAlignment="1">
      <alignment horizontal="center" vertical="center" wrapText="1"/>
    </xf>
    <xf numFmtId="10" fontId="2" fillId="6" borderId="1" xfId="2" applyNumberFormat="1" applyFont="1" applyFill="1" applyBorder="1" applyAlignment="1">
      <alignment horizontal="center" vertical="center" wrapText="1"/>
    </xf>
    <xf numFmtId="0" fontId="19" fillId="4" borderId="1" xfId="0" applyFont="1" applyFill="1" applyBorder="1" applyAlignment="1">
      <alignment horizontal="left" vertical="center" wrapText="1"/>
    </xf>
    <xf numFmtId="0" fontId="2" fillId="4" borderId="1" xfId="0" applyFont="1" applyFill="1" applyBorder="1" applyAlignment="1">
      <alignment horizontal="center" vertical="center" wrapText="1"/>
    </xf>
    <xf numFmtId="165" fontId="2" fillId="4" borderId="1" xfId="0" applyNumberFormat="1" applyFont="1" applyFill="1" applyBorder="1" applyAlignment="1">
      <alignment horizontal="center" vertical="center" wrapText="1"/>
    </xf>
    <xf numFmtId="0" fontId="20" fillId="26" borderId="1" xfId="0" applyFont="1" applyFill="1" applyBorder="1" applyAlignment="1">
      <alignment horizontal="left" vertical="center" wrapText="1"/>
    </xf>
    <xf numFmtId="0" fontId="2" fillId="26" borderId="1" xfId="0" applyFont="1" applyFill="1" applyBorder="1" applyAlignment="1">
      <alignment horizontal="center" vertical="center" wrapText="1"/>
    </xf>
    <xf numFmtId="165" fontId="2" fillId="26" borderId="1" xfId="0" applyNumberFormat="1" applyFont="1" applyFill="1" applyBorder="1" applyAlignment="1">
      <alignment horizontal="center" vertical="center" wrapText="1"/>
    </xf>
    <xf numFmtId="165" fontId="9" fillId="21" borderId="1" xfId="0" applyNumberFormat="1" applyFont="1" applyFill="1" applyBorder="1" applyAlignment="1">
      <alignment horizontal="center" vertical="center" wrapText="1"/>
    </xf>
    <xf numFmtId="2" fontId="2" fillId="25" borderId="1" xfId="0" applyNumberFormat="1" applyFont="1" applyFill="1" applyBorder="1" applyAlignment="1">
      <alignment horizontal="center" vertical="center" wrapText="1"/>
    </xf>
    <xf numFmtId="2" fontId="2" fillId="24" borderId="1" xfId="0" applyNumberFormat="1" applyFont="1" applyFill="1" applyBorder="1" applyAlignment="1">
      <alignment horizontal="center" vertical="center" wrapText="1"/>
    </xf>
    <xf numFmtId="3" fontId="2" fillId="25" borderId="1" xfId="0" applyNumberFormat="1" applyFont="1" applyFill="1" applyBorder="1" applyAlignment="1">
      <alignment horizontal="center" vertical="center" wrapText="1"/>
    </xf>
    <xf numFmtId="0" fontId="9" fillId="22" borderId="2" xfId="0" applyFont="1" applyFill="1" applyBorder="1" applyAlignment="1">
      <alignment horizontal="center" vertical="center" wrapText="1"/>
    </xf>
    <xf numFmtId="4" fontId="2" fillId="24"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4" fontId="2" fillId="2" borderId="1" xfId="0" applyNumberFormat="1" applyFont="1" applyFill="1" applyBorder="1" applyAlignment="1">
      <alignment horizontal="center" vertical="center" wrapText="1"/>
    </xf>
    <xf numFmtId="0" fontId="2" fillId="2" borderId="2" xfId="0" applyFont="1" applyFill="1" applyBorder="1" applyAlignment="1">
      <alignment horizontal="center" vertical="center" wrapText="1"/>
    </xf>
    <xf numFmtId="166" fontId="2" fillId="2" borderId="1" xfId="0" applyNumberFormat="1" applyFont="1" applyFill="1" applyBorder="1" applyAlignment="1">
      <alignment horizontal="center" vertical="center" wrapText="1"/>
    </xf>
    <xf numFmtId="4" fontId="2" fillId="25" borderId="1" xfId="0" applyNumberFormat="1" applyFont="1" applyFill="1" applyBorder="1" applyAlignment="1">
      <alignment horizontal="center" vertical="center" wrapText="1"/>
    </xf>
    <xf numFmtId="165" fontId="2" fillId="25" borderId="1" xfId="0" applyNumberFormat="1" applyFont="1" applyFill="1" applyBorder="1" applyAlignment="1">
      <alignment horizontal="center" vertical="center" wrapText="1"/>
    </xf>
    <xf numFmtId="165" fontId="2" fillId="24" borderId="1" xfId="0" applyNumberFormat="1" applyFont="1" applyFill="1" applyBorder="1" applyAlignment="1">
      <alignment horizontal="center" vertical="center" wrapText="1"/>
    </xf>
    <xf numFmtId="2" fontId="9" fillId="21" borderId="1" xfId="0" applyNumberFormat="1" applyFont="1" applyFill="1" applyBorder="1" applyAlignment="1">
      <alignment horizontal="center" vertical="center" wrapText="1"/>
    </xf>
    <xf numFmtId="0" fontId="16" fillId="3" borderId="1" xfId="0" applyFont="1" applyFill="1" applyBorder="1" applyAlignment="1">
      <alignment horizontal="center" vertical="center" wrapText="1"/>
    </xf>
    <xf numFmtId="0" fontId="32" fillId="5" borderId="1" xfId="0" applyFont="1" applyFill="1" applyBorder="1" applyAlignment="1">
      <alignment horizontal="center" vertical="center" wrapText="1"/>
    </xf>
    <xf numFmtId="0" fontId="2" fillId="5" borderId="1" xfId="0" applyFont="1" applyFill="1" applyBorder="1" applyAlignment="1">
      <alignment horizontal="left" vertical="center" wrapText="1"/>
    </xf>
    <xf numFmtId="0" fontId="34" fillId="26" borderId="1"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6" fillId="3" borderId="1" xfId="0" applyFont="1" applyFill="1" applyBorder="1" applyAlignment="1">
      <alignment horizontal="center" vertical="center" wrapText="1"/>
    </xf>
    <xf numFmtId="0" fontId="16" fillId="3" borderId="1" xfId="0" applyFont="1" applyFill="1" applyBorder="1" applyAlignment="1">
      <alignment horizontal="left" vertical="center" wrapText="1"/>
    </xf>
    <xf numFmtId="1" fontId="20" fillId="26" borderId="1" xfId="0" applyNumberFormat="1" applyFont="1" applyFill="1" applyBorder="1" applyAlignment="1">
      <alignment horizontal="center" vertical="center" wrapText="1"/>
    </xf>
    <xf numFmtId="165" fontId="2" fillId="6" borderId="1" xfId="0" applyNumberFormat="1" applyFont="1" applyFill="1" applyBorder="1" applyAlignment="1">
      <alignment horizontal="center" vertical="center" wrapText="1"/>
    </xf>
    <xf numFmtId="1" fontId="34" fillId="26" borderId="1" xfId="0" applyNumberFormat="1" applyFont="1" applyFill="1" applyBorder="1" applyAlignment="1">
      <alignment horizontal="center" vertical="center" wrapText="1"/>
    </xf>
    <xf numFmtId="1" fontId="13" fillId="26" borderId="1" xfId="0" applyNumberFormat="1" applyFont="1" applyFill="1" applyBorder="1" applyAlignment="1">
      <alignment horizontal="center" vertical="center" wrapText="1"/>
    </xf>
    <xf numFmtId="0" fontId="13" fillId="26" borderId="1" xfId="0" applyFont="1" applyFill="1" applyBorder="1" applyAlignment="1">
      <alignment horizontal="center" vertical="center" wrapText="1"/>
    </xf>
    <xf numFmtId="1" fontId="37" fillId="26" borderId="1" xfId="0" applyNumberFormat="1" applyFont="1" applyFill="1" applyBorder="1" applyAlignment="1">
      <alignment horizontal="center" vertical="center" wrapText="1"/>
    </xf>
    <xf numFmtId="1" fontId="34" fillId="26" borderId="1" xfId="0" applyNumberFormat="1" applyFont="1" applyFill="1" applyBorder="1" applyAlignment="1">
      <alignment horizontal="left" vertical="center" wrapText="1"/>
    </xf>
    <xf numFmtId="0" fontId="18" fillId="24" borderId="1" xfId="0" applyFont="1" applyFill="1" applyBorder="1" applyAlignment="1">
      <alignment horizontal="center" vertical="center" wrapText="1"/>
    </xf>
    <xf numFmtId="3" fontId="37" fillId="26" borderId="1" xfId="0" applyNumberFormat="1" applyFont="1" applyFill="1" applyBorder="1" applyAlignment="1">
      <alignment horizontal="center" vertical="center" wrapText="1"/>
    </xf>
    <xf numFmtId="3" fontId="38" fillId="26" borderId="1" xfId="0" applyNumberFormat="1" applyFont="1" applyFill="1" applyBorder="1" applyAlignment="1">
      <alignment horizontal="center" vertical="center" wrapText="1"/>
    </xf>
    <xf numFmtId="9" fontId="38" fillId="26" borderId="1" xfId="2" applyFont="1" applyFill="1" applyBorder="1" applyAlignment="1">
      <alignment horizontal="center" vertical="center" wrapText="1"/>
    </xf>
    <xf numFmtId="0" fontId="18" fillId="6" borderId="1" xfId="0" applyFont="1" applyFill="1" applyBorder="1" applyAlignment="1">
      <alignment horizontal="left" vertical="center" wrapText="1"/>
    </xf>
    <xf numFmtId="0" fontId="18" fillId="24" borderId="1" xfId="0" applyFont="1" applyFill="1" applyBorder="1" applyAlignment="1">
      <alignment horizontal="left" vertical="center" wrapText="1"/>
    </xf>
    <xf numFmtId="0" fontId="11" fillId="6" borderId="0" xfId="0" applyFont="1" applyFill="1" applyAlignment="1">
      <alignment vertical="center" wrapText="1"/>
    </xf>
    <xf numFmtId="0" fontId="0" fillId="0" borderId="0" xfId="0" applyAlignment="1">
      <alignment horizontal="left" vertical="center"/>
    </xf>
    <xf numFmtId="0" fontId="0" fillId="0" borderId="0" xfId="0" applyAlignment="1">
      <alignment horizontal="right"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9" fontId="0" fillId="0" borderId="0" xfId="0" applyNumberFormat="1" applyAlignment="1">
      <alignment horizontal="center" vertical="center"/>
    </xf>
    <xf numFmtId="0" fontId="31" fillId="12" borderId="0" xfId="3" applyFont="1" applyFill="1" applyAlignment="1">
      <alignment horizontal="center" vertical="center" wrapText="1"/>
    </xf>
    <xf numFmtId="0" fontId="2" fillId="14" borderId="2" xfId="3" applyFont="1" applyFill="1" applyBorder="1" applyAlignment="1">
      <alignment horizontal="left" vertical="center" wrapText="1"/>
    </xf>
    <xf numFmtId="0" fontId="22" fillId="11" borderId="0" xfId="3" applyFont="1" applyFill="1" applyAlignment="1">
      <alignment horizontal="center" vertical="center" wrapText="1"/>
    </xf>
    <xf numFmtId="0" fontId="2" fillId="17" borderId="2" xfId="3" applyFont="1" applyFill="1" applyBorder="1" applyAlignment="1">
      <alignment horizontal="left" vertical="center" wrapText="1"/>
    </xf>
    <xf numFmtId="0" fontId="2" fillId="16" borderId="2" xfId="3" applyFont="1" applyFill="1" applyBorder="1" applyAlignment="1">
      <alignment horizontal="left" vertical="center" wrapText="1"/>
    </xf>
    <xf numFmtId="0" fontId="2" fillId="15" borderId="2" xfId="3" applyFont="1" applyFill="1" applyBorder="1" applyAlignment="1">
      <alignment horizontal="left" vertical="center" wrapText="1"/>
    </xf>
    <xf numFmtId="0" fontId="11" fillId="8" borderId="0" xfId="3" applyFont="1" applyFill="1" applyAlignment="1">
      <alignment horizontal="center" vertical="center" wrapText="1"/>
    </xf>
    <xf numFmtId="0" fontId="7" fillId="12" borderId="0" xfId="3" applyFont="1" applyFill="1" applyAlignment="1">
      <alignment horizontal="center" vertical="center" wrapText="1"/>
    </xf>
    <xf numFmtId="0" fontId="6" fillId="11" borderId="0" xfId="3" applyFont="1" applyFill="1" applyAlignment="1">
      <alignment horizontal="center" vertical="center" wrapText="1"/>
    </xf>
    <xf numFmtId="0" fontId="5" fillId="9" borderId="2" xfId="3" applyFont="1" applyFill="1" applyBorder="1" applyAlignment="1">
      <alignment horizontal="left" vertical="center" wrapText="1"/>
    </xf>
    <xf numFmtId="0" fontId="10" fillId="12" borderId="0" xfId="3" applyFont="1" applyFill="1" applyAlignment="1">
      <alignment horizontal="center" vertical="center" wrapText="1"/>
    </xf>
    <xf numFmtId="0" fontId="8" fillId="8" borderId="2" xfId="3" applyFont="1" applyFill="1" applyBorder="1" applyAlignment="1">
      <alignment horizontal="left" vertical="center" wrapText="1"/>
    </xf>
    <xf numFmtId="0" fontId="5" fillId="11" borderId="3" xfId="3" applyFont="1" applyFill="1" applyBorder="1" applyAlignment="1">
      <alignment horizontal="center" vertical="center" wrapText="1"/>
    </xf>
    <xf numFmtId="0" fontId="5" fillId="11" borderId="2" xfId="3" applyFont="1" applyFill="1" applyBorder="1" applyAlignment="1">
      <alignment horizontal="center" vertical="center" wrapText="1"/>
    </xf>
    <xf numFmtId="0" fontId="5" fillId="11" borderId="0" xfId="3" applyFont="1" applyFill="1" applyAlignment="1">
      <alignment horizontal="center" vertical="center" wrapText="1"/>
    </xf>
    <xf numFmtId="0" fontId="11" fillId="8" borderId="2" xfId="3" applyFont="1" applyFill="1" applyBorder="1" applyAlignment="1">
      <alignment horizontal="left" vertical="center" wrapText="1"/>
    </xf>
    <xf numFmtId="0" fontId="9" fillId="11" borderId="2" xfId="3" applyFont="1" applyFill="1" applyBorder="1" applyAlignment="1">
      <alignment horizontal="center" vertical="center" wrapText="1"/>
    </xf>
    <xf numFmtId="0" fontId="10" fillId="20" borderId="0" xfId="0" applyFont="1" applyFill="1" applyAlignment="1">
      <alignment horizontal="center" vertical="center" wrapText="1"/>
    </xf>
    <xf numFmtId="0" fontId="0" fillId="0" borderId="0" xfId="0"/>
    <xf numFmtId="0" fontId="6" fillId="21" borderId="0" xfId="0" applyFont="1" applyFill="1" applyAlignment="1">
      <alignment horizontal="center" vertical="center" wrapText="1"/>
    </xf>
    <xf numFmtId="0" fontId="5" fillId="23" borderId="1" xfId="0" applyFont="1" applyFill="1" applyBorder="1" applyAlignment="1">
      <alignment horizontal="left" vertical="center" wrapText="1"/>
    </xf>
    <xf numFmtId="0" fontId="2" fillId="3" borderId="2"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5" fillId="21" borderId="1" xfId="0" applyFont="1" applyFill="1" applyBorder="1" applyAlignment="1">
      <alignment horizontal="center" vertical="center" wrapText="1"/>
    </xf>
    <xf numFmtId="0" fontId="5" fillId="21" borderId="7" xfId="0" applyFont="1" applyFill="1" applyBorder="1" applyAlignment="1">
      <alignment horizontal="center" vertical="center" wrapText="1"/>
    </xf>
    <xf numFmtId="0" fontId="5" fillId="21" borderId="3" xfId="0" applyFont="1" applyFill="1" applyBorder="1" applyAlignment="1">
      <alignment horizontal="center" vertical="center" wrapText="1"/>
    </xf>
    <xf numFmtId="0" fontId="9" fillId="22" borderId="8" xfId="0" applyFont="1" applyFill="1" applyBorder="1" applyAlignment="1">
      <alignment horizontal="center" vertical="center" wrapText="1"/>
    </xf>
    <xf numFmtId="0" fontId="9" fillId="22" borderId="9" xfId="0" applyFont="1" applyFill="1" applyBorder="1" applyAlignment="1">
      <alignment horizontal="center" vertical="center" wrapText="1"/>
    </xf>
    <xf numFmtId="0" fontId="2" fillId="19" borderId="2" xfId="0" applyFont="1" applyFill="1" applyBorder="1" applyAlignment="1">
      <alignment horizontal="center" vertical="center" wrapText="1"/>
    </xf>
    <xf numFmtId="0" fontId="2" fillId="19" borderId="10" xfId="0" applyFont="1" applyFill="1" applyBorder="1" applyAlignment="1">
      <alignment horizontal="center" vertical="center" wrapText="1"/>
    </xf>
    <xf numFmtId="0" fontId="2" fillId="26" borderId="2" xfId="0" applyFont="1" applyFill="1" applyBorder="1" applyAlignment="1">
      <alignment horizontal="center" vertical="center" wrapText="1"/>
    </xf>
    <xf numFmtId="0" fontId="2" fillId="26" borderId="10" xfId="0"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2" xfId="0" applyFont="1" applyFill="1" applyBorder="1" applyAlignment="1">
      <alignment horizontal="center" vertical="center" wrapText="1"/>
    </xf>
    <xf numFmtId="0" fontId="8" fillId="6" borderId="1" xfId="0" applyFont="1" applyFill="1" applyBorder="1" applyAlignment="1">
      <alignment horizontal="left" vertical="center" wrapText="1"/>
    </xf>
    <xf numFmtId="0" fontId="35" fillId="6" borderId="0" xfId="0" applyFont="1" applyFill="1" applyAlignment="1">
      <alignment horizontal="center" vertical="center" wrapText="1"/>
    </xf>
    <xf numFmtId="0" fontId="9" fillId="21" borderId="1" xfId="0" applyFont="1" applyFill="1" applyBorder="1" applyAlignment="1">
      <alignment horizontal="center" vertical="center" wrapText="1"/>
    </xf>
    <xf numFmtId="0" fontId="9" fillId="27" borderId="1" xfId="0" applyFont="1" applyFill="1" applyBorder="1" applyAlignment="1">
      <alignment horizontal="center" vertical="center" wrapText="1"/>
    </xf>
    <xf numFmtId="0" fontId="22" fillId="21" borderId="1" xfId="0" applyFont="1" applyFill="1" applyBorder="1" applyAlignment="1">
      <alignment horizontal="center" vertical="center" wrapText="1"/>
    </xf>
    <xf numFmtId="0" fontId="5" fillId="23" borderId="1" xfId="0" applyFont="1" applyFill="1" applyBorder="1" applyAlignment="1">
      <alignment horizontal="center" vertical="center" wrapText="1"/>
    </xf>
    <xf numFmtId="0" fontId="0" fillId="0" borderId="0" xfId="0" applyAlignment="1">
      <alignment horizontal="center"/>
    </xf>
    <xf numFmtId="0" fontId="8" fillId="6" borderId="6" xfId="0" applyFont="1" applyFill="1" applyBorder="1" applyAlignment="1">
      <alignment horizontal="left" vertical="center" wrapText="1"/>
    </xf>
    <xf numFmtId="0" fontId="8" fillId="6" borderId="0" xfId="0" applyFont="1" applyFill="1" applyAlignment="1">
      <alignment horizontal="left" vertical="center" wrapText="1"/>
    </xf>
    <xf numFmtId="0" fontId="0" fillId="0" borderId="1" xfId="0" applyBorder="1"/>
    <xf numFmtId="0" fontId="5" fillId="23" borderId="7"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8" fillId="6" borderId="8" xfId="0" applyFont="1" applyFill="1" applyBorder="1" applyAlignment="1">
      <alignment horizontal="left" vertical="center" wrapText="1"/>
    </xf>
    <xf numFmtId="0" fontId="8" fillId="6" borderId="9" xfId="0" applyFont="1" applyFill="1" applyBorder="1" applyAlignment="1">
      <alignment horizontal="left" vertical="center" wrapText="1"/>
    </xf>
    <xf numFmtId="0" fontId="0" fillId="27" borderId="1" xfId="0" applyFill="1" applyBorder="1"/>
    <xf numFmtId="0" fontId="2" fillId="6" borderId="1" xfId="0" applyFont="1" applyFill="1" applyBorder="1" applyAlignment="1">
      <alignment horizontal="center" vertical="center" wrapText="1"/>
    </xf>
    <xf numFmtId="0" fontId="0" fillId="6" borderId="1" xfId="0" applyFill="1" applyBorder="1" applyAlignment="1">
      <alignment horizontal="center" vertical="center"/>
    </xf>
    <xf numFmtId="0" fontId="2" fillId="24" borderId="1" xfId="0" applyFont="1" applyFill="1" applyBorder="1" applyAlignment="1">
      <alignment horizontal="center" vertical="center" wrapText="1"/>
    </xf>
    <xf numFmtId="0" fontId="0" fillId="24" borderId="1" xfId="0" applyFill="1" applyBorder="1" applyAlignment="1">
      <alignment horizontal="center" vertical="center"/>
    </xf>
    <xf numFmtId="0" fontId="8" fillId="6" borderId="1" xfId="0" applyFont="1" applyFill="1" applyBorder="1" applyAlignment="1">
      <alignment horizontal="center" vertical="center" wrapText="1"/>
    </xf>
    <xf numFmtId="0" fontId="0" fillId="0" borderId="0" xfId="0" applyAlignment="1">
      <alignment horizontal="center" vertical="center"/>
    </xf>
    <xf numFmtId="0" fontId="9" fillId="22" borderId="7" xfId="0" applyFont="1" applyFill="1" applyBorder="1" applyAlignment="1">
      <alignment horizontal="center" vertical="center" wrapText="1"/>
    </xf>
    <xf numFmtId="0" fontId="9" fillId="22" borderId="3" xfId="0" applyFont="1" applyFill="1" applyBorder="1" applyAlignment="1">
      <alignment horizontal="center" vertical="center" wrapText="1"/>
    </xf>
    <xf numFmtId="0" fontId="9" fillId="22" borderId="14"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0" xfId="0" applyFont="1" applyFill="1" applyAlignment="1">
      <alignment horizontal="center" vertical="center" wrapText="1"/>
    </xf>
    <xf numFmtId="0" fontId="2" fillId="24" borderId="1" xfId="0" applyFont="1" applyFill="1" applyBorder="1" applyAlignment="1">
      <alignment horizontal="left" vertical="center" wrapText="1"/>
    </xf>
    <xf numFmtId="0" fontId="0" fillId="24" borderId="1" xfId="0" applyFill="1" applyBorder="1"/>
    <xf numFmtId="0" fontId="2" fillId="6" borderId="1" xfId="0" applyFont="1" applyFill="1" applyBorder="1" applyAlignment="1">
      <alignment horizontal="left" vertical="center" wrapText="1"/>
    </xf>
    <xf numFmtId="0" fontId="0" fillId="6" borderId="1" xfId="0" applyFill="1" applyBorder="1"/>
    <xf numFmtId="0" fontId="2" fillId="24" borderId="2" xfId="0" applyFont="1" applyFill="1" applyBorder="1" applyAlignment="1">
      <alignment horizontal="left" vertical="center" wrapText="1"/>
    </xf>
    <xf numFmtId="0" fontId="2" fillId="24" borderId="10" xfId="0" applyFont="1" applyFill="1" applyBorder="1" applyAlignment="1">
      <alignment horizontal="left" vertical="center" wrapText="1"/>
    </xf>
    <xf numFmtId="0" fontId="9" fillId="22" borderId="2" xfId="0" applyFont="1" applyFill="1" applyBorder="1" applyAlignment="1">
      <alignment horizontal="center" vertical="center" wrapText="1"/>
    </xf>
    <xf numFmtId="0" fontId="9" fillId="22" borderId="10" xfId="0" applyFont="1" applyFill="1" applyBorder="1" applyAlignment="1">
      <alignment horizontal="center" vertical="center" wrapText="1"/>
    </xf>
    <xf numFmtId="0" fontId="9" fillId="22" borderId="15" xfId="0" applyFont="1" applyFill="1" applyBorder="1" applyAlignment="1">
      <alignment horizontal="center" vertical="center" wrapText="1"/>
    </xf>
    <xf numFmtId="0" fontId="11" fillId="6" borderId="0" xfId="0" applyFont="1" applyFill="1" applyAlignment="1">
      <alignment horizontal="center" vertical="center" wrapText="1"/>
    </xf>
    <xf numFmtId="0" fontId="39" fillId="20" borderId="0" xfId="0" applyFont="1" applyFill="1" applyAlignment="1">
      <alignment horizontal="center" vertical="center" wrapText="1"/>
    </xf>
    <xf numFmtId="0" fontId="43" fillId="6" borderId="1" xfId="0" applyFont="1" applyFill="1" applyBorder="1" applyAlignment="1">
      <alignment horizontal="left" vertical="center" wrapText="1"/>
    </xf>
    <xf numFmtId="0" fontId="44" fillId="0" borderId="0" xfId="0" applyFont="1"/>
    <xf numFmtId="0" fontId="40" fillId="6" borderId="1" xfId="0" applyFont="1" applyFill="1" applyBorder="1" applyAlignment="1">
      <alignment horizontal="center" vertical="center" wrapText="1"/>
    </xf>
    <xf numFmtId="2" fontId="42" fillId="26" borderId="1" xfId="0" applyNumberFormat="1" applyFont="1" applyFill="1" applyBorder="1" applyAlignment="1">
      <alignment horizontal="center" vertical="center" wrapText="1"/>
    </xf>
    <xf numFmtId="0" fontId="42" fillId="26" borderId="1" xfId="0" applyFont="1" applyFill="1" applyBorder="1" applyAlignment="1">
      <alignment horizontal="center" vertical="center" wrapText="1"/>
    </xf>
    <xf numFmtId="9" fontId="42" fillId="26" borderId="1" xfId="2" applyFont="1" applyFill="1" applyBorder="1" applyAlignment="1">
      <alignment horizontal="center" vertical="center" wrapText="1"/>
    </xf>
    <xf numFmtId="9" fontId="0" fillId="0" borderId="0" xfId="2" applyFont="1"/>
    <xf numFmtId="9" fontId="41" fillId="4" borderId="1" xfId="2" applyFont="1" applyFill="1" applyBorder="1" applyAlignment="1">
      <alignment horizontal="center" vertical="center" wrapText="1"/>
    </xf>
    <xf numFmtId="165" fontId="41" fillId="4" borderId="1" xfId="0" applyNumberFormat="1" applyFont="1" applyFill="1" applyBorder="1" applyAlignment="1">
      <alignment horizontal="center" vertical="center" wrapText="1"/>
    </xf>
    <xf numFmtId="165" fontId="0" fillId="0" borderId="0" xfId="0" applyNumberFormat="1"/>
    <xf numFmtId="0" fontId="41" fillId="4" borderId="1" xfId="0" applyFont="1" applyFill="1" applyBorder="1" applyAlignment="1">
      <alignment horizontal="center" vertical="center" wrapText="1"/>
    </xf>
    <xf numFmtId="0" fontId="22" fillId="23" borderId="1" xfId="0" applyFont="1" applyFill="1" applyBorder="1" applyAlignment="1">
      <alignment horizontal="center" vertical="center" wrapText="1"/>
    </xf>
    <xf numFmtId="166" fontId="2" fillId="28" borderId="1" xfId="0" applyNumberFormat="1" applyFont="1" applyFill="1" applyBorder="1" applyAlignment="1">
      <alignment horizontal="center" vertical="center" wrapText="1"/>
    </xf>
  </cellXfs>
  <cellStyles count="5">
    <cellStyle name="Normal" xfId="0" builtinId="0"/>
    <cellStyle name="Normal 2" xfId="1" xr:uid="{25643C74-868F-4713-BF03-1EC54672B5E9}"/>
    <cellStyle name="Normal 3" xfId="3" xr:uid="{2C10B6B5-1E18-4E1C-9D40-B443040FFBE5}"/>
    <cellStyle name="Porcentaje" xfId="2" builtinId="5"/>
    <cellStyle name="Porcentaje 2" xfId="4" xr:uid="{6658CA2F-37C7-4091-BEC1-C0234980950C}"/>
  </cellStyles>
  <dxfs count="70">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9C0006"/>
      </font>
      <fill>
        <patternFill>
          <bgColor rgb="FFFFC7CE"/>
        </patternFill>
      </fill>
    </dxf>
    <dxf>
      <font>
        <color rgb="FF974706"/>
      </font>
      <fill>
        <patternFill>
          <bgColor rgb="FFFDDCB5"/>
        </patternFill>
      </fill>
    </dxf>
    <dxf>
      <font>
        <color rgb="FF7D6608"/>
      </font>
      <fill>
        <patternFill>
          <bgColor rgb="FFFFEB9C"/>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7D6608"/>
      </font>
      <fill>
        <patternFill>
          <bgColor rgb="FFFFEB9C"/>
        </patternFill>
      </fill>
    </dxf>
    <dxf>
      <font>
        <color rgb="FF974706"/>
      </font>
      <fill>
        <patternFill>
          <bgColor rgb="FFFDDCB5"/>
        </patternFill>
      </fill>
    </dxf>
    <dxf>
      <font>
        <color rgb="FF974706"/>
      </font>
      <fill>
        <patternFill>
          <bgColor rgb="FFFDDCB5"/>
        </patternFill>
      </fill>
    </dxf>
    <dxf>
      <font>
        <color rgb="FF974706"/>
      </font>
      <fill>
        <patternFill>
          <bgColor rgb="FFFDDCB5"/>
        </patternFill>
      </fill>
    </dxf>
    <dxf>
      <font>
        <color rgb="FF9C0006"/>
      </font>
      <fill>
        <patternFill>
          <bgColor rgb="FFFFC7CE"/>
        </patternFill>
      </fill>
    </dxf>
    <dxf>
      <font>
        <color rgb="FF9C0006"/>
      </font>
      <fill>
        <patternFill>
          <bgColor rgb="FFFFC7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74706"/>
      </font>
      <fill>
        <patternFill>
          <bgColor rgb="FFFDDCB5"/>
        </patternFill>
      </fill>
    </dxf>
    <dxf>
      <font>
        <color rgb="FF1E5C2E"/>
      </font>
      <fill>
        <patternFill>
          <bgColor rgb="FFC6EFCE"/>
        </patternFill>
      </fill>
    </dxf>
    <dxf>
      <font>
        <color rgb="FF9C0006"/>
      </font>
      <fill>
        <patternFill>
          <bgColor rgb="FFFFC7CE"/>
        </patternFill>
      </fill>
    </dxf>
    <dxf>
      <font>
        <color rgb="FF1E5C2E"/>
      </font>
      <fill>
        <patternFill>
          <bgColor rgb="FFC6EFCE"/>
        </patternFill>
      </fill>
    </dxf>
    <dxf>
      <font>
        <color rgb="FF1E5C2E"/>
      </font>
      <fill>
        <patternFill>
          <bgColor rgb="FFC6EFCE"/>
        </patternFill>
      </fill>
    </dxf>
    <dxf>
      <font>
        <color rgb="FF7D6608"/>
      </font>
      <fill>
        <patternFill>
          <bgColor rgb="FFFFEB9C"/>
        </patternFill>
      </fill>
    </dxf>
    <dxf>
      <font>
        <color rgb="FF974706"/>
      </font>
      <fill>
        <patternFill>
          <bgColor rgb="FFFDDCB5"/>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Dashboard!$C$55</c:f>
              <c:strCache>
                <c:ptCount val="1"/>
                <c:pt idx="0">
                  <c:v>Clientes</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9F1D-4C4B-8096-64771C10DFA6}"/>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9F1D-4C4B-8096-64771C10DFA6}"/>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9F1D-4C4B-8096-64771C10DFA6}"/>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9F1D-4C4B-8096-64771C10DFA6}"/>
              </c:ext>
            </c:extLst>
          </c:dPt>
          <c:dLbls>
            <c:dLbl>
              <c:idx val="0"/>
              <c:layout>
                <c:manualLayout>
                  <c:x val="2.2387917933130698E-2"/>
                  <c:y val="3.7813333333333331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9F1D-4C4B-8096-64771C10DFA6}"/>
                </c:ext>
              </c:extLst>
            </c:dLbl>
            <c:dLbl>
              <c:idx val="1"/>
              <c:layout>
                <c:manualLayout>
                  <c:x val="1.1253799392097264E-2"/>
                  <c:y val="-2.7385833333333335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9F1D-4C4B-8096-64771C10DFA6}"/>
                </c:ext>
              </c:extLst>
            </c:dLbl>
            <c:dLbl>
              <c:idx val="2"/>
              <c:layout>
                <c:manualLayout>
                  <c:x val="0"/>
                  <c:y val="0.10131055555555556"/>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5-9F1D-4C4B-8096-64771C10DFA6}"/>
                </c:ext>
              </c:extLst>
            </c:dLbl>
            <c:dLbl>
              <c:idx val="3"/>
              <c:layout>
                <c:manualLayout>
                  <c:x val="-0.1077636355960824"/>
                  <c:y val="1.1404444444444444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7-9F1D-4C4B-8096-64771C10DF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T"/>
              </a:p>
            </c:txPr>
            <c:showLegendKey val="1"/>
            <c:showVal val="1"/>
            <c:showCatName val="1"/>
            <c:showSerName val="1"/>
            <c:showPercent val="1"/>
            <c:showBubbleSize val="1"/>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Dashboard!$B$56:$B$59</c:f>
              <c:strCache>
                <c:ptCount val="4"/>
                <c:pt idx="0">
                  <c:v>BAJO</c:v>
                </c:pt>
                <c:pt idx="1">
                  <c:v>MEDIO</c:v>
                </c:pt>
                <c:pt idx="2">
                  <c:v>ALTO</c:v>
                </c:pt>
                <c:pt idx="3">
                  <c:v>CRÍTICO</c:v>
                </c:pt>
              </c:strCache>
            </c:strRef>
          </c:cat>
          <c:val>
            <c:numRef>
              <c:f>Dashboard!$C$56:$C$59</c:f>
              <c:numCache>
                <c:formatCode>General</c:formatCode>
                <c:ptCount val="4"/>
                <c:pt idx="0">
                  <c:v>10</c:v>
                </c:pt>
                <c:pt idx="1">
                  <c:v>18</c:v>
                </c:pt>
                <c:pt idx="2">
                  <c:v>15</c:v>
                </c:pt>
                <c:pt idx="3">
                  <c:v>7</c:v>
                </c:pt>
              </c:numCache>
            </c:numRef>
          </c:val>
          <c:extLst>
            <c:ext xmlns:c16="http://schemas.microsoft.com/office/drawing/2014/chart" uri="{C3380CC4-5D6E-409C-BE32-E72D297353CC}">
              <c16:uniqueId val="{00000008-9F1D-4C4B-8096-64771C10DFA6}"/>
            </c:ext>
          </c:extLst>
        </c:ser>
        <c:dLbls>
          <c:showLegendKey val="1"/>
          <c:showVal val="1"/>
          <c:showCatName val="1"/>
          <c:showSerName val="1"/>
          <c:showPercent val="1"/>
          <c:showBubbleSize val="1"/>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legend>
    <c:plotVisOnly val="1"/>
    <c:dispBlanksAs val="gap"/>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s-G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Dashboard!$F$55</c:f>
              <c:strCache>
                <c:ptCount val="1"/>
                <c:pt idx="0">
                  <c:v>Pts.Tipo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1"/>
          <c:cat>
            <c:strRef>
              <c:f>Dashboard!$E$56:$E$59</c:f>
              <c:strCache>
                <c:ptCount val="4"/>
                <c:pt idx="0">
                  <c:v>Individual</c:v>
                </c:pt>
                <c:pt idx="1">
                  <c:v>Jurídica</c:v>
                </c:pt>
                <c:pt idx="2">
                  <c:v>No Residente</c:v>
                </c:pt>
                <c:pt idx="3">
                  <c:v>PEP</c:v>
                </c:pt>
              </c:strCache>
            </c:strRef>
          </c:cat>
          <c:val>
            <c:numRef>
              <c:f>Dashboard!$F$56:$F$59</c:f>
              <c:numCache>
                <c:formatCode>0</c:formatCode>
                <c:ptCount val="4"/>
                <c:pt idx="0" formatCode="General">
                  <c:v>1</c:v>
                </c:pt>
                <c:pt idx="1">
                  <c:v>2</c:v>
                </c:pt>
                <c:pt idx="2" formatCode="General">
                  <c:v>3</c:v>
                </c:pt>
                <c:pt idx="3" formatCode="General">
                  <c:v>4</c:v>
                </c:pt>
              </c:numCache>
            </c:numRef>
          </c:val>
          <c:extLst>
            <c:ext xmlns:c16="http://schemas.microsoft.com/office/drawing/2014/chart" uri="{C3380CC4-5D6E-409C-BE32-E72D297353CC}">
              <c16:uniqueId val="{00000000-E9A6-4172-967D-1D95ECCD32CD}"/>
            </c:ext>
          </c:extLst>
        </c:ser>
        <c:ser>
          <c:idx val="1"/>
          <c:order val="1"/>
          <c:tx>
            <c:strRef>
              <c:f>Dashboard!$G$55</c:f>
              <c:strCache>
                <c:ptCount val="1"/>
                <c:pt idx="0">
                  <c:v>Pts.Canal</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1"/>
          <c:cat>
            <c:strRef>
              <c:f>Dashboard!$E$56:$E$59</c:f>
              <c:strCache>
                <c:ptCount val="4"/>
                <c:pt idx="0">
                  <c:v>Individual</c:v>
                </c:pt>
                <c:pt idx="1">
                  <c:v>Jurídica</c:v>
                </c:pt>
                <c:pt idx="2">
                  <c:v>No Residente</c:v>
                </c:pt>
                <c:pt idx="3">
                  <c:v>PEP</c:v>
                </c:pt>
              </c:strCache>
            </c:strRef>
          </c:cat>
          <c:val>
            <c:numRef>
              <c:f>Dashboard!$G$56:$G$59</c:f>
              <c:numCache>
                <c:formatCode>0.00</c:formatCode>
                <c:ptCount val="4"/>
                <c:pt idx="0">
                  <c:v>1.8181818181818181</c:v>
                </c:pt>
                <c:pt idx="1">
                  <c:v>2.4285714285714284</c:v>
                </c:pt>
                <c:pt idx="2">
                  <c:v>3.5</c:v>
                </c:pt>
                <c:pt idx="3">
                  <c:v>2.2000000000000002</c:v>
                </c:pt>
              </c:numCache>
            </c:numRef>
          </c:val>
          <c:extLst>
            <c:ext xmlns:c16="http://schemas.microsoft.com/office/drawing/2014/chart" uri="{C3380CC4-5D6E-409C-BE32-E72D297353CC}">
              <c16:uniqueId val="{00000001-E9A6-4172-967D-1D95ECCD32CD}"/>
            </c:ext>
          </c:extLst>
        </c:ser>
        <c:ser>
          <c:idx val="2"/>
          <c:order val="2"/>
          <c:tx>
            <c:strRef>
              <c:f>Dashboard!$H$55</c:f>
              <c:strCache>
                <c:ptCount val="1"/>
                <c:pt idx="0">
                  <c:v>Pts.Zona</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1"/>
          <c:cat>
            <c:strRef>
              <c:f>Dashboard!$E$56:$E$59</c:f>
              <c:strCache>
                <c:ptCount val="4"/>
                <c:pt idx="0">
                  <c:v>Individual</c:v>
                </c:pt>
                <c:pt idx="1">
                  <c:v>Jurídica</c:v>
                </c:pt>
                <c:pt idx="2">
                  <c:v>No Residente</c:v>
                </c:pt>
                <c:pt idx="3">
                  <c:v>PEP</c:v>
                </c:pt>
              </c:strCache>
            </c:strRef>
          </c:cat>
          <c:val>
            <c:numRef>
              <c:f>Dashboard!$H$56:$H$59</c:f>
              <c:numCache>
                <c:formatCode>0.00</c:formatCode>
                <c:ptCount val="4"/>
                <c:pt idx="0">
                  <c:v>1.9090909090909092</c:v>
                </c:pt>
                <c:pt idx="1">
                  <c:v>2.2380952380952381</c:v>
                </c:pt>
                <c:pt idx="2" formatCode="0">
                  <c:v>3</c:v>
                </c:pt>
                <c:pt idx="3">
                  <c:v>2.4</c:v>
                </c:pt>
              </c:numCache>
            </c:numRef>
          </c:val>
          <c:extLst>
            <c:ext xmlns:c16="http://schemas.microsoft.com/office/drawing/2014/chart" uri="{C3380CC4-5D6E-409C-BE32-E72D297353CC}">
              <c16:uniqueId val="{00000002-E9A6-4172-967D-1D95ECCD32CD}"/>
            </c:ext>
          </c:extLst>
        </c:ser>
        <c:ser>
          <c:idx val="3"/>
          <c:order val="3"/>
          <c:tx>
            <c:strRef>
              <c:f>Dashboard!$I$55</c:f>
              <c:strCache>
                <c:ptCount val="1"/>
                <c:pt idx="0">
                  <c:v>Pts.Antig.</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1"/>
          <c:cat>
            <c:strRef>
              <c:f>Dashboard!$E$56:$E$59</c:f>
              <c:strCache>
                <c:ptCount val="4"/>
                <c:pt idx="0">
                  <c:v>Individual</c:v>
                </c:pt>
                <c:pt idx="1">
                  <c:v>Jurídica</c:v>
                </c:pt>
                <c:pt idx="2">
                  <c:v>No Residente</c:v>
                </c:pt>
                <c:pt idx="3">
                  <c:v>PEP</c:v>
                </c:pt>
              </c:strCache>
            </c:strRef>
          </c:cat>
          <c:val>
            <c:numRef>
              <c:f>Dashboard!$I$56:$I$59</c:f>
              <c:numCache>
                <c:formatCode>0.00</c:formatCode>
                <c:ptCount val="4"/>
                <c:pt idx="0" formatCode="0">
                  <c:v>2</c:v>
                </c:pt>
                <c:pt idx="1">
                  <c:v>1.9523809523809523</c:v>
                </c:pt>
                <c:pt idx="2">
                  <c:v>2.625</c:v>
                </c:pt>
                <c:pt idx="3">
                  <c:v>2.2999999999999998</c:v>
                </c:pt>
              </c:numCache>
            </c:numRef>
          </c:val>
          <c:extLst>
            <c:ext xmlns:c16="http://schemas.microsoft.com/office/drawing/2014/chart" uri="{C3380CC4-5D6E-409C-BE32-E72D297353CC}">
              <c16:uniqueId val="{00000003-E9A6-4172-967D-1D95ECCD32CD}"/>
            </c:ext>
          </c:extLst>
        </c:ser>
        <c:dLbls>
          <c:showLegendKey val="0"/>
          <c:showVal val="0"/>
          <c:showCatName val="0"/>
          <c:showSerName val="0"/>
          <c:showPercent val="0"/>
          <c:showBubbleSize val="0"/>
        </c:dLbls>
        <c:gapWidth val="164"/>
        <c:overlap val="-22"/>
        <c:axId val="10"/>
        <c:axId val="100"/>
      </c:barChart>
      <c:catAx>
        <c:axId val="10"/>
        <c:scaling>
          <c:orientation val="minMax"/>
        </c:scaling>
        <c:delete val="0"/>
        <c:axPos val="b"/>
        <c:title>
          <c:tx>
            <c:rich>
              <a:bodyPr/>
              <a:lstStyle/>
              <a:p>
                <a:pPr>
                  <a:defRPr sz="800"/>
                </a:pPr>
                <a:r>
                  <a:rPr lang="es-GT" sz="800">
                    <a:solidFill>
                      <a:schemeClr val="tx1">
                        <a:lumMod val="75000"/>
                        <a:lumOff val="25000"/>
                      </a:schemeClr>
                    </a:solidFill>
                  </a:rPr>
                  <a:t>TIPO</a:t>
                </a:r>
                <a:r>
                  <a:rPr lang="es-GT" sz="800" baseline="0">
                    <a:solidFill>
                      <a:schemeClr val="tx1">
                        <a:lumMod val="75000"/>
                        <a:lumOff val="25000"/>
                      </a:schemeClr>
                    </a:solidFill>
                  </a:rPr>
                  <a:t> DE CLIENTE</a:t>
                </a:r>
                <a:endParaRPr lang="es-GT" sz="800">
                  <a:solidFill>
                    <a:schemeClr val="tx1">
                      <a:lumMod val="75000"/>
                      <a:lumOff val="25000"/>
                    </a:schemeClr>
                  </a:solidFill>
                </a:endParaRPr>
              </a:p>
            </c:rich>
          </c:tx>
          <c:overlay val="0"/>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crossAx val="100"/>
        <c:crosses val="autoZero"/>
        <c:auto val="1"/>
        <c:lblAlgn val="ctr"/>
        <c:lblOffset val="100"/>
        <c:noMultiLvlLbl val="1"/>
      </c:catAx>
      <c:valAx>
        <c:axId val="100"/>
        <c:scaling>
          <c:orientation val="minMax"/>
        </c:scaling>
        <c:delete val="0"/>
        <c:axPos val="l"/>
        <c:title>
          <c:tx>
            <c:rich>
              <a:bodyPr/>
              <a:lstStyle/>
              <a:p>
                <a:pPr>
                  <a:defRPr sz="800"/>
                </a:pPr>
                <a:r>
                  <a:rPr lang="es-GT" sz="800">
                    <a:solidFill>
                      <a:schemeClr val="tx1">
                        <a:lumMod val="75000"/>
                        <a:lumOff val="25000"/>
                      </a:schemeClr>
                    </a:solidFill>
                  </a:rPr>
                  <a:t>PUNTAJE PROMEDIO</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crossAx val="1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legend>
    <c:plotVisOnly val="1"/>
    <c:dispBlanksAs val="gap"/>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s-G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1"/>
        <c:ser>
          <c:idx val="0"/>
          <c:order val="0"/>
          <c:tx>
            <c:strRef>
              <c:f>Dashboard!$N$55</c:f>
              <c:strCache>
                <c:ptCount val="1"/>
                <c:pt idx="0">
                  <c:v>N° Alertas</c:v>
                </c:pt>
              </c:strCache>
            </c:strRef>
          </c:tx>
          <c:invertIfNegative val="1"/>
          <c:dPt>
            <c:idx val="0"/>
            <c:invertIfNegative val="1"/>
            <c:bubble3D val="0"/>
            <c:spPr>
              <a:pattFill prst="narVert">
                <a:fgClr>
                  <a:schemeClr val="accent1"/>
                </a:fgClr>
                <a:bgClr>
                  <a:schemeClr val="accent1">
                    <a:lumMod val="20000"/>
                    <a:lumOff val="80000"/>
                  </a:schemeClr>
                </a:bgClr>
              </a:pattFill>
              <a:ln>
                <a:noFill/>
              </a:ln>
              <a:effectLst>
                <a:innerShdw blurRad="114300">
                  <a:schemeClr val="accent1"/>
                </a:innerShdw>
              </a:effectLst>
            </c:spPr>
            <c:extLst>
              <c:ext xmlns:c16="http://schemas.microsoft.com/office/drawing/2014/chart" uri="{C3380CC4-5D6E-409C-BE32-E72D297353CC}">
                <c16:uniqueId val="{00000001-9C7C-4A54-AD0B-B0859EC14335}"/>
              </c:ext>
            </c:extLst>
          </c:dPt>
          <c:dPt>
            <c:idx val="1"/>
            <c:invertIfNegative val="1"/>
            <c:bubble3D val="0"/>
            <c:spPr>
              <a:pattFill prst="narVert">
                <a:fgClr>
                  <a:schemeClr val="accent2"/>
                </a:fgClr>
                <a:bgClr>
                  <a:schemeClr val="accent2">
                    <a:lumMod val="20000"/>
                    <a:lumOff val="80000"/>
                  </a:schemeClr>
                </a:bgClr>
              </a:pattFill>
              <a:ln>
                <a:noFill/>
              </a:ln>
              <a:effectLst>
                <a:innerShdw blurRad="114300">
                  <a:schemeClr val="accent2"/>
                </a:innerShdw>
              </a:effectLst>
            </c:spPr>
            <c:extLst>
              <c:ext xmlns:c16="http://schemas.microsoft.com/office/drawing/2014/chart" uri="{C3380CC4-5D6E-409C-BE32-E72D297353CC}">
                <c16:uniqueId val="{00000003-9C7C-4A54-AD0B-B0859EC14335}"/>
              </c:ext>
            </c:extLst>
          </c:dPt>
          <c:dPt>
            <c:idx val="2"/>
            <c:invertIfNegative val="1"/>
            <c:bubble3D val="0"/>
            <c:spPr>
              <a:pattFill prst="narVert">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5-9C7C-4A54-AD0B-B0859EC14335}"/>
              </c:ext>
            </c:extLst>
          </c:dPt>
          <c:dPt>
            <c:idx val="3"/>
            <c:invertIfNegative val="1"/>
            <c:bubble3D val="0"/>
            <c:spPr>
              <a:pattFill prst="narVert">
                <a:fgClr>
                  <a:schemeClr val="accent4"/>
                </a:fgClr>
                <a:bgClr>
                  <a:schemeClr val="accent4">
                    <a:lumMod val="20000"/>
                    <a:lumOff val="80000"/>
                  </a:schemeClr>
                </a:bgClr>
              </a:pattFill>
              <a:ln>
                <a:noFill/>
              </a:ln>
              <a:effectLst>
                <a:innerShdw blurRad="114300">
                  <a:schemeClr val="accent4"/>
                </a:innerShdw>
              </a:effectLst>
            </c:spPr>
            <c:extLst>
              <c:ext xmlns:c16="http://schemas.microsoft.com/office/drawing/2014/chart" uri="{C3380CC4-5D6E-409C-BE32-E72D297353CC}">
                <c16:uniqueId val="{00000007-9C7C-4A54-AD0B-B0859EC14335}"/>
              </c:ext>
            </c:extLst>
          </c:dPt>
          <c:dPt>
            <c:idx val="4"/>
            <c:invertIfNegative val="1"/>
            <c:bubble3D val="0"/>
            <c:spPr>
              <a:pattFill prst="narVert">
                <a:fgClr>
                  <a:schemeClr val="accent5"/>
                </a:fgClr>
                <a:bgClr>
                  <a:schemeClr val="accent5">
                    <a:lumMod val="20000"/>
                    <a:lumOff val="80000"/>
                  </a:schemeClr>
                </a:bgClr>
              </a:pattFill>
              <a:ln>
                <a:noFill/>
              </a:ln>
              <a:effectLst>
                <a:innerShdw blurRad="114300">
                  <a:schemeClr val="accent5"/>
                </a:innerShdw>
              </a:effectLst>
            </c:spPr>
            <c:extLst>
              <c:ext xmlns:c16="http://schemas.microsoft.com/office/drawing/2014/chart" uri="{C3380CC4-5D6E-409C-BE32-E72D297353CC}">
                <c16:uniqueId val="{00000009-9C7C-4A54-AD0B-B0859EC14335}"/>
              </c:ext>
            </c:extLst>
          </c:dPt>
          <c:cat>
            <c:strRef>
              <c:f>Dashboard!$L$56:$L$60</c:f>
              <c:strCache>
                <c:ptCount val="5"/>
                <c:pt idx="0">
                  <c:v>Monto alto + Inconsistencia</c:v>
                </c:pt>
                <c:pt idx="1">
                  <c:v>Posible fraccionamiento</c:v>
                </c:pt>
                <c:pt idx="2">
                  <c:v>Inconsistencia de perfil</c:v>
                </c:pt>
                <c:pt idx="3">
                  <c:v>Monto alto en efectivo</c:v>
                </c:pt>
                <c:pt idx="4">
                  <c:v>Retiro inmediato</c:v>
                </c:pt>
              </c:strCache>
            </c:strRef>
          </c:cat>
          <c:val>
            <c:numRef>
              <c:f>Dashboard!$N$56:$N$60</c:f>
              <c:numCache>
                <c:formatCode>General</c:formatCode>
                <c:ptCount val="5"/>
                <c:pt idx="0">
                  <c:v>50</c:v>
                </c:pt>
                <c:pt idx="1">
                  <c:v>45</c:v>
                </c:pt>
                <c:pt idx="2">
                  <c:v>18</c:v>
                </c:pt>
                <c:pt idx="3">
                  <c:v>7</c:v>
                </c:pt>
                <c:pt idx="4">
                  <c:v>2</c:v>
                </c:pt>
              </c:numCache>
            </c:numRef>
          </c:val>
          <c:extLst>
            <c:ext xmlns:c16="http://schemas.microsoft.com/office/drawing/2014/chart" uri="{C3380CC4-5D6E-409C-BE32-E72D297353CC}">
              <c16:uniqueId val="{00000000-639B-45E6-AB38-660D298685AA}"/>
            </c:ext>
          </c:extLst>
        </c:ser>
        <c:dLbls>
          <c:showLegendKey val="0"/>
          <c:showVal val="0"/>
          <c:showCatName val="0"/>
          <c:showSerName val="0"/>
          <c:showPercent val="0"/>
          <c:showBubbleSize val="0"/>
        </c:dLbls>
        <c:gapWidth val="227"/>
        <c:overlap val="-48"/>
        <c:axId val="10"/>
        <c:axId val="100"/>
      </c:barChart>
      <c:catAx>
        <c:axId val="10"/>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crossAx val="100"/>
        <c:crosses val="autoZero"/>
        <c:auto val="1"/>
        <c:lblAlgn val="ctr"/>
        <c:lblOffset val="100"/>
        <c:noMultiLvlLbl val="1"/>
      </c:catAx>
      <c:valAx>
        <c:axId val="100"/>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r>
                  <a:rPr lang="es-GT" sz="800">
                    <a:solidFill>
                      <a:schemeClr val="tx1">
                        <a:lumMod val="75000"/>
                        <a:lumOff val="25000"/>
                      </a:schemeClr>
                    </a:solidFill>
                  </a:rPr>
                  <a:t>NO. DE ALERTAS</a:t>
                </a:r>
              </a:p>
            </c:rich>
          </c:tx>
          <c:overlay val="0"/>
          <c:spPr>
            <a:noFill/>
            <a:ln>
              <a:noFill/>
            </a:ln>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s-G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crossAx val="10"/>
        <c:crosses val="autoZero"/>
        <c:crossBetween val="between"/>
      </c:valAx>
      <c:spPr>
        <a:noFill/>
        <a:ln>
          <a:noFill/>
        </a:ln>
        <a:effectLst/>
      </c:spPr>
    </c:plotArea>
    <c:plotVisOnly val="1"/>
    <c:dispBlanksAs val="gap"/>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s-G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1"/>
        <c:ser>
          <c:idx val="0"/>
          <c:order val="0"/>
          <c:tx>
            <c:strRef>
              <c:f>Dashboard!$U$55</c:f>
              <c:strCache>
                <c:ptCount val="1"/>
                <c:pt idx="0">
                  <c:v>Alertas</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G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Dashboard!$T$56:$T$61</c:f>
              <c:strCache>
                <c:ptCount val="6"/>
                <c:pt idx="0">
                  <c:v>Enero</c:v>
                </c:pt>
                <c:pt idx="1">
                  <c:v>Febrero</c:v>
                </c:pt>
                <c:pt idx="2">
                  <c:v>Marzo</c:v>
                </c:pt>
                <c:pt idx="3">
                  <c:v>Abril</c:v>
                </c:pt>
                <c:pt idx="4">
                  <c:v>Mayo</c:v>
                </c:pt>
                <c:pt idx="5">
                  <c:v>Junio</c:v>
                </c:pt>
              </c:strCache>
            </c:strRef>
          </c:cat>
          <c:val>
            <c:numRef>
              <c:f>Dashboard!$U$56:$U$61</c:f>
              <c:numCache>
                <c:formatCode>General</c:formatCode>
                <c:ptCount val="6"/>
                <c:pt idx="0">
                  <c:v>7</c:v>
                </c:pt>
                <c:pt idx="1">
                  <c:v>8</c:v>
                </c:pt>
                <c:pt idx="2">
                  <c:v>11</c:v>
                </c:pt>
                <c:pt idx="3">
                  <c:v>8</c:v>
                </c:pt>
                <c:pt idx="4">
                  <c:v>14</c:v>
                </c:pt>
                <c:pt idx="5">
                  <c:v>14</c:v>
                </c:pt>
              </c:numCache>
            </c:numRef>
          </c:val>
          <c:smooth val="1"/>
          <c:extLst>
            <c:ext xmlns:c16="http://schemas.microsoft.com/office/drawing/2014/chart" uri="{C3380CC4-5D6E-409C-BE32-E72D297353CC}">
              <c16:uniqueId val="{00000000-625C-4694-A7FF-1FC1963384F1}"/>
            </c:ext>
          </c:extLst>
        </c:ser>
        <c:ser>
          <c:idx val="1"/>
          <c:order val="1"/>
          <c:tx>
            <c:strRef>
              <c:f>Dashboard!$V$55</c:f>
              <c:strCache>
                <c:ptCount val="1"/>
                <c:pt idx="0">
                  <c:v>Transacciones</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G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Dashboard!$T$56:$T$61</c:f>
              <c:strCache>
                <c:ptCount val="6"/>
                <c:pt idx="0">
                  <c:v>Enero</c:v>
                </c:pt>
                <c:pt idx="1">
                  <c:v>Febrero</c:v>
                </c:pt>
                <c:pt idx="2">
                  <c:v>Marzo</c:v>
                </c:pt>
                <c:pt idx="3">
                  <c:v>Abril</c:v>
                </c:pt>
                <c:pt idx="4">
                  <c:v>Mayo</c:v>
                </c:pt>
                <c:pt idx="5">
                  <c:v>Junio</c:v>
                </c:pt>
              </c:strCache>
            </c:strRef>
          </c:cat>
          <c:val>
            <c:numRef>
              <c:f>Dashboard!$V$56:$V$61</c:f>
              <c:numCache>
                <c:formatCode>General</c:formatCode>
                <c:ptCount val="6"/>
                <c:pt idx="0">
                  <c:v>20</c:v>
                </c:pt>
                <c:pt idx="1">
                  <c:v>19</c:v>
                </c:pt>
                <c:pt idx="2">
                  <c:v>22</c:v>
                </c:pt>
                <c:pt idx="3">
                  <c:v>20</c:v>
                </c:pt>
                <c:pt idx="4">
                  <c:v>21</c:v>
                </c:pt>
                <c:pt idx="5">
                  <c:v>28</c:v>
                </c:pt>
              </c:numCache>
            </c:numRef>
          </c:val>
          <c:smooth val="1"/>
          <c:extLst>
            <c:ext xmlns:c16="http://schemas.microsoft.com/office/drawing/2014/chart" uri="{C3380CC4-5D6E-409C-BE32-E72D297353CC}">
              <c16:uniqueId val="{00000001-625C-4694-A7FF-1FC1963384F1}"/>
            </c:ext>
          </c:extLst>
        </c:ser>
        <c:dLbls>
          <c:dLblPos val="ctr"/>
          <c:showLegendKey val="0"/>
          <c:showVal val="1"/>
          <c:showCatName val="0"/>
          <c:showSerName val="0"/>
          <c:showPercent val="0"/>
          <c:showBubbleSize val="0"/>
        </c:dLbls>
        <c:marker val="1"/>
        <c:smooth val="0"/>
        <c:axId val="10"/>
        <c:axId val="100"/>
      </c:lineChart>
      <c:catAx>
        <c:axId val="10"/>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dk1">
                        <a:lumMod val="75000"/>
                        <a:lumOff val="25000"/>
                      </a:schemeClr>
                    </a:solidFill>
                    <a:latin typeface="+mn-lt"/>
                    <a:ea typeface="+mn-ea"/>
                    <a:cs typeface="+mn-cs"/>
                  </a:defRPr>
                </a:pPr>
                <a:r>
                  <a:rPr lang="es-GT" sz="800">
                    <a:solidFill>
                      <a:schemeClr val="tx1">
                        <a:lumMod val="75000"/>
                        <a:lumOff val="25000"/>
                      </a:schemeClr>
                    </a:solidFill>
                  </a:rPr>
                  <a:t>MES</a:t>
                </a:r>
              </a:p>
            </c:rich>
          </c:tx>
          <c:overlay val="0"/>
          <c:spPr>
            <a:noFill/>
            <a:ln>
              <a:noFill/>
            </a:ln>
            <a:effectLst/>
          </c:sp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GT"/>
          </a:p>
        </c:txPr>
        <c:crossAx val="100"/>
        <c:crosses val="autoZero"/>
        <c:auto val="1"/>
        <c:lblAlgn val="ctr"/>
        <c:lblOffset val="100"/>
        <c:noMultiLvlLbl val="1"/>
      </c:catAx>
      <c:valAx>
        <c:axId val="100"/>
        <c:scaling>
          <c:orientation val="minMax"/>
        </c:scaling>
        <c:delete val="1"/>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s-GT">
                    <a:solidFill>
                      <a:schemeClr val="tx1">
                        <a:lumMod val="75000"/>
                        <a:lumOff val="25000"/>
                      </a:schemeClr>
                    </a:solidFill>
                  </a:rPr>
                  <a:t>CANTIDAD</a:t>
                </a:r>
              </a:p>
            </c:rich>
          </c:tx>
          <c:overlay val="0"/>
          <c:spPr>
            <a:noFill/>
            <a:ln>
              <a:noFill/>
            </a:ln>
            <a:effectLst/>
          </c:spPr>
        </c:title>
        <c:numFmt formatCode="General" sourceLinked="1"/>
        <c:majorTickMark val="none"/>
        <c:minorTickMark val="none"/>
        <c:tickLblPos val="nextTo"/>
        <c:crossAx val="1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GT"/>
        </a:p>
      </c:txPr>
    </c:legend>
    <c:plotVisOnly val="1"/>
    <c:dispBlanksAs val="gap"/>
    <c:showDLblsOverMax val="1"/>
  </c:chart>
  <c:spPr>
    <a:solidFill>
      <a:sysClr val="window" lastClr="FFFFFF"/>
    </a:solidFill>
    <a:ln w="9525" cap="flat" cmpd="sng" algn="ctr">
      <a:solidFill>
        <a:schemeClr val="dk1">
          <a:lumMod val="25000"/>
          <a:lumOff val="75000"/>
        </a:schemeClr>
      </a:solidFill>
      <a:round/>
    </a:ln>
    <a:effectLst/>
  </c:spPr>
  <c:txPr>
    <a:bodyPr/>
    <a:lstStyle/>
    <a:p>
      <a:pPr>
        <a:defRPr/>
      </a:pPr>
      <a:endParaRPr lang="es-G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Dashboard!$Q$55</c:f>
              <c:strCache>
                <c:ptCount val="1"/>
                <c:pt idx="0">
                  <c:v>Índice FT</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1"/>
          <c:cat>
            <c:strRef>
              <c:f>Dashboard!$P$56:$P$59</c:f>
              <c:strCache>
                <c:ptCount val="4"/>
                <c:pt idx="0">
                  <c:v>EE.UU.</c:v>
                </c:pt>
                <c:pt idx="1">
                  <c:v>México</c:v>
                </c:pt>
                <c:pt idx="2">
                  <c:v>Otros</c:v>
                </c:pt>
                <c:pt idx="3">
                  <c:v>España</c:v>
                </c:pt>
              </c:strCache>
            </c:strRef>
          </c:cat>
          <c:val>
            <c:numRef>
              <c:f>Dashboard!$Q$56:$Q$59</c:f>
              <c:numCache>
                <c:formatCode>0</c:formatCode>
                <c:ptCount val="4"/>
                <c:pt idx="0">
                  <c:v>65</c:v>
                </c:pt>
                <c:pt idx="1">
                  <c:v>82</c:v>
                </c:pt>
                <c:pt idx="2">
                  <c:v>71</c:v>
                </c:pt>
                <c:pt idx="3">
                  <c:v>39.5</c:v>
                </c:pt>
              </c:numCache>
            </c:numRef>
          </c:val>
          <c:extLst>
            <c:ext xmlns:c16="http://schemas.microsoft.com/office/drawing/2014/chart" uri="{C3380CC4-5D6E-409C-BE32-E72D297353CC}">
              <c16:uniqueId val="{00000000-F5CC-4C41-A1F0-31F937ECADA7}"/>
            </c:ext>
          </c:extLst>
        </c:ser>
        <c:dLbls>
          <c:showLegendKey val="0"/>
          <c:showVal val="0"/>
          <c:showCatName val="0"/>
          <c:showSerName val="0"/>
          <c:showPercent val="0"/>
          <c:showBubbleSize val="0"/>
        </c:dLbls>
        <c:gapWidth val="164"/>
        <c:axId val="10"/>
        <c:axId val="100"/>
      </c:barChart>
      <c:lineChart>
        <c:grouping val="standard"/>
        <c:varyColors val="1"/>
        <c:ser>
          <c:idx val="1"/>
          <c:order val="1"/>
          <c:tx>
            <c:strRef>
              <c:f>Dashboard!$R$55</c:f>
              <c:strCache>
                <c:ptCount val="1"/>
                <c:pt idx="0">
                  <c:v>% Alertas</c:v>
                </c:pt>
              </c:strCache>
            </c:strRef>
          </c:tx>
          <c:spPr>
            <a:effectLst>
              <a:innerShdw blurRad="114300">
                <a:schemeClr val="accent2"/>
              </a:innerShdw>
            </a:effectLst>
          </c:spP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Dashboard!$P$56:$P$59</c:f>
              <c:strCache>
                <c:ptCount val="4"/>
                <c:pt idx="0">
                  <c:v>EE.UU.</c:v>
                </c:pt>
                <c:pt idx="1">
                  <c:v>México</c:v>
                </c:pt>
                <c:pt idx="2">
                  <c:v>Otros</c:v>
                </c:pt>
                <c:pt idx="3">
                  <c:v>España</c:v>
                </c:pt>
              </c:strCache>
            </c:strRef>
          </c:cat>
          <c:val>
            <c:numRef>
              <c:f>Dashboard!$R$56:$R$59</c:f>
              <c:numCache>
                <c:formatCode>0%</c:formatCode>
                <c:ptCount val="4"/>
                <c:pt idx="0">
                  <c:v>0.48837209302325579</c:v>
                </c:pt>
                <c:pt idx="1">
                  <c:v>0.95</c:v>
                </c:pt>
                <c:pt idx="2">
                  <c:v>0.72222222222222221</c:v>
                </c:pt>
                <c:pt idx="3">
                  <c:v>0.35294117647058826</c:v>
                </c:pt>
              </c:numCache>
            </c:numRef>
          </c:val>
          <c:smooth val="0"/>
          <c:extLst>
            <c:ext xmlns:c16="http://schemas.microsoft.com/office/drawing/2014/chart" uri="{C3380CC4-5D6E-409C-BE32-E72D297353CC}">
              <c16:uniqueId val="{00000001-F5CC-4C41-A1F0-31F937ECADA7}"/>
            </c:ext>
          </c:extLst>
        </c:ser>
        <c:dLbls>
          <c:showLegendKey val="0"/>
          <c:showVal val="0"/>
          <c:showCatName val="0"/>
          <c:showSerName val="0"/>
          <c:showPercent val="0"/>
          <c:showBubbleSize val="0"/>
        </c:dLbls>
        <c:marker val="1"/>
        <c:smooth val="0"/>
        <c:axId val="1960185151"/>
        <c:axId val="1960160191"/>
      </c:lineChart>
      <c:catAx>
        <c:axId val="10"/>
        <c:scaling>
          <c:orientation val="minMax"/>
        </c:scaling>
        <c:delete val="0"/>
        <c:axPos val="b"/>
        <c:title>
          <c:tx>
            <c:rich>
              <a:bodyPr/>
              <a:lstStyle/>
              <a:p>
                <a:pPr>
                  <a:defRPr sz="800">
                    <a:solidFill>
                      <a:schemeClr val="tx1">
                        <a:lumMod val="75000"/>
                        <a:lumOff val="25000"/>
                      </a:schemeClr>
                    </a:solidFill>
                  </a:defRPr>
                </a:pPr>
                <a:r>
                  <a:rPr lang="es-GT" sz="800">
                    <a:solidFill>
                      <a:schemeClr val="tx1">
                        <a:lumMod val="75000"/>
                        <a:lumOff val="25000"/>
                      </a:schemeClr>
                    </a:solidFill>
                  </a:rPr>
                  <a:t>CORREDOR</a:t>
                </a:r>
              </a:p>
            </c:rich>
          </c:tx>
          <c:overlay val="0"/>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crossAx val="100"/>
        <c:crosses val="autoZero"/>
        <c:auto val="1"/>
        <c:lblAlgn val="ctr"/>
        <c:lblOffset val="100"/>
        <c:noMultiLvlLbl val="1"/>
      </c:catAx>
      <c:valAx>
        <c:axId val="100"/>
        <c:scaling>
          <c:orientation val="minMax"/>
        </c:scaling>
        <c:delete val="0"/>
        <c:axPos val="l"/>
        <c:title>
          <c:tx>
            <c:rich>
              <a:bodyPr/>
              <a:lstStyle/>
              <a:p>
                <a:pPr>
                  <a:defRPr sz="800">
                    <a:solidFill>
                      <a:schemeClr val="tx1">
                        <a:lumMod val="75000"/>
                        <a:lumOff val="25000"/>
                      </a:schemeClr>
                    </a:solidFill>
                  </a:defRPr>
                </a:pPr>
                <a:r>
                  <a:rPr lang="es-GT" sz="800">
                    <a:solidFill>
                      <a:schemeClr val="tx1">
                        <a:lumMod val="75000"/>
                        <a:lumOff val="25000"/>
                      </a:schemeClr>
                    </a:solidFill>
                  </a:rPr>
                  <a:t>VALOR</a:t>
                </a:r>
              </a:p>
            </c:rich>
          </c:tx>
          <c:overlay val="0"/>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crossAx val="10"/>
        <c:crosses val="autoZero"/>
        <c:crossBetween val="between"/>
      </c:valAx>
      <c:valAx>
        <c:axId val="1960160191"/>
        <c:scaling>
          <c:orientation val="minMax"/>
        </c:scaling>
        <c:delete val="0"/>
        <c:axPos val="r"/>
        <c:title>
          <c:tx>
            <c:rich>
              <a:bodyPr/>
              <a:lstStyle/>
              <a:p>
                <a:pPr>
                  <a:defRPr sz="800">
                    <a:solidFill>
                      <a:schemeClr val="tx1">
                        <a:lumMod val="75000"/>
                        <a:lumOff val="25000"/>
                      </a:schemeClr>
                    </a:solidFill>
                  </a:defRPr>
                </a:pPr>
                <a:r>
                  <a:rPr lang="es-GT" sz="800">
                    <a:solidFill>
                      <a:schemeClr val="tx1">
                        <a:lumMod val="75000"/>
                        <a:lumOff val="25000"/>
                      </a:schemeClr>
                    </a:solidFill>
                  </a:rPr>
                  <a:t>PORCENTAJE (%)</a:t>
                </a:r>
              </a:p>
            </c:rich>
          </c:tx>
          <c:overlay val="0"/>
        </c:title>
        <c:numFmt formatCode="0%" sourceLinked="1"/>
        <c:majorTickMark val="out"/>
        <c:minorTickMark val="none"/>
        <c:tickLblPos val="nextTo"/>
        <c:crossAx val="1960185151"/>
        <c:crosses val="max"/>
        <c:crossBetween val="between"/>
      </c:valAx>
      <c:catAx>
        <c:axId val="1960185151"/>
        <c:scaling>
          <c:orientation val="minMax"/>
        </c:scaling>
        <c:delete val="1"/>
        <c:axPos val="b"/>
        <c:numFmt formatCode="General" sourceLinked="1"/>
        <c:majorTickMark val="out"/>
        <c:minorTickMark val="none"/>
        <c:tickLblPos val="nextTo"/>
        <c:crossAx val="196016019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GT"/>
        </a:p>
      </c:txPr>
    </c:legend>
    <c:plotVisOnly val="1"/>
    <c:dispBlanksAs val="gap"/>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s-G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Dashboard!$AA$55</c:f>
              <c:strCache>
                <c:ptCount val="1"/>
                <c:pt idx="0">
                  <c:v>N° Alertas</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DE8B-45CA-959B-94806B391DB3}"/>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DE8B-45CA-959B-94806B391DB3}"/>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DE8B-45CA-959B-94806B391DB3}"/>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DE8B-45CA-959B-94806B391DB3}"/>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DE8B-45CA-959B-94806B391DB3}"/>
              </c:ext>
            </c:extLst>
          </c:dPt>
          <c:dPt>
            <c:idx val="5"/>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B-DE8B-45CA-959B-94806B391DB3}"/>
              </c:ext>
            </c:extLst>
          </c:dPt>
          <c:dLbls>
            <c:dLbl>
              <c:idx val="0"/>
              <c:layout>
                <c:manualLayout>
                  <c:x val="5.9078436339074633E-3"/>
                  <c:y val="-5.3506791483113068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DE8B-45CA-959B-94806B391DB3}"/>
                </c:ext>
              </c:extLst>
            </c:dLbl>
            <c:dLbl>
              <c:idx val="1"/>
              <c:layout>
                <c:manualLayout>
                  <c:x val="-1.628630530226275E-2"/>
                  <c:y val="-9.4006057268722465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DE8B-45CA-959B-94806B391DB3}"/>
                </c:ext>
              </c:extLst>
            </c:dLbl>
            <c:dLbl>
              <c:idx val="2"/>
              <c:layout>
                <c:manualLayout>
                  <c:x val="-0.17978850050658562"/>
                  <c:y val="3.1216348507097397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5-DE8B-45CA-959B-94806B391DB3}"/>
                </c:ext>
              </c:extLst>
            </c:dLbl>
            <c:dLbl>
              <c:idx val="3"/>
              <c:layout>
                <c:manualLayout>
                  <c:x val="-3.1791202296521541E-2"/>
                  <c:y val="1.4200930004894767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7-DE8B-45CA-959B-94806B391DB3}"/>
                </c:ext>
              </c:extLst>
            </c:dLbl>
            <c:dLbl>
              <c:idx val="4"/>
              <c:layout>
                <c:manualLayout>
                  <c:x val="-9.4377955082742323E-3"/>
                  <c:y val="3.3121328928046992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9-DE8B-45CA-959B-94806B391DB3}"/>
                </c:ext>
              </c:extLst>
            </c:dLbl>
            <c:dLbl>
              <c:idx val="5"/>
              <c:layout>
                <c:manualLayout>
                  <c:x val="-1.8865881458966564E-2"/>
                  <c:y val="9.3046377875673034E-2"/>
                </c:manualLayout>
              </c:layou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B-DE8B-45CA-959B-94806B391D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T"/>
              </a:p>
            </c:txPr>
            <c:showLegendKey val="1"/>
            <c:showVal val="1"/>
            <c:showCatName val="1"/>
            <c:showSerName val="1"/>
            <c:showPercent val="1"/>
            <c:showBubbleSize val="1"/>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Dashboard!$Y$56:$Y$61</c:f>
              <c:strCache>
                <c:ptCount val="6"/>
                <c:pt idx="0">
                  <c:v>Alta frec. + monto umbral</c:v>
                </c:pt>
                <c:pt idx="1">
                  <c:v>Múltiples remitentes</c:v>
                </c:pt>
                <c:pt idx="2">
                  <c:v>Mult. rem. + alta frec.</c:v>
                </c:pt>
                <c:pt idx="3">
                  <c:v>Variación de remitente</c:v>
                </c:pt>
                <c:pt idx="4">
                  <c:v>Monto recurrente</c:v>
                </c:pt>
                <c:pt idx="5">
                  <c:v>Monto cercano umbral</c:v>
                </c:pt>
              </c:strCache>
            </c:strRef>
          </c:cat>
          <c:val>
            <c:numRef>
              <c:f>Dashboard!$AA$56:$AA$61</c:f>
              <c:numCache>
                <c:formatCode>General</c:formatCode>
                <c:ptCount val="6"/>
                <c:pt idx="0">
                  <c:v>23</c:v>
                </c:pt>
                <c:pt idx="1">
                  <c:v>17</c:v>
                </c:pt>
                <c:pt idx="2">
                  <c:v>10</c:v>
                </c:pt>
                <c:pt idx="3">
                  <c:v>3</c:v>
                </c:pt>
                <c:pt idx="4">
                  <c:v>3</c:v>
                </c:pt>
                <c:pt idx="5">
                  <c:v>1</c:v>
                </c:pt>
              </c:numCache>
            </c:numRef>
          </c:val>
          <c:extLst>
            <c:ext xmlns:c16="http://schemas.microsoft.com/office/drawing/2014/chart" uri="{C3380CC4-5D6E-409C-BE32-E72D297353CC}">
              <c16:uniqueId val="{0000000E-DE8B-45CA-959B-94806B391DB3}"/>
            </c:ext>
          </c:extLst>
        </c:ser>
        <c:dLbls>
          <c:showLegendKey val="1"/>
          <c:showVal val="1"/>
          <c:showCatName val="1"/>
          <c:showSerName val="1"/>
          <c:showPercent val="1"/>
          <c:showBubbleSize val="1"/>
          <c:showLeaderLines val="1"/>
        </c:dLbls>
        <c:firstSliceAng val="67"/>
      </c:pieChart>
      <c:spPr>
        <a:noFill/>
        <a:ln>
          <a:noFill/>
        </a:ln>
        <a:effectLst/>
      </c:spPr>
    </c:plotArea>
    <c:plotVisOnly val="1"/>
    <c:dispBlanksAs val="gap"/>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s-G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23812</xdr:colOff>
      <xdr:row>17</xdr:row>
      <xdr:rowOff>45244</xdr:rowOff>
    </xdr:from>
    <xdr:ext cx="4737600" cy="3268800"/>
    <xdr:graphicFrame macro="">
      <xdr:nvGraphicFramePr>
        <xdr:cNvPr id="2" name="Chart 1">
          <a:extLst>
            <a:ext uri="{FF2B5EF4-FFF2-40B4-BE49-F238E27FC236}">
              <a16:creationId xmlns:a16="http://schemas.microsoft.com/office/drawing/2014/main" id="{AFE3EA58-E9AE-480D-94AC-297AD65189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xdr:col>
      <xdr:colOff>794</xdr:colOff>
      <xdr:row>35</xdr:row>
      <xdr:rowOff>80168</xdr:rowOff>
    </xdr:from>
    <xdr:ext cx="4737600" cy="3268800"/>
    <xdr:graphicFrame macro="">
      <xdr:nvGraphicFramePr>
        <xdr:cNvPr id="3" name="Chart 2">
          <a:extLst>
            <a:ext uri="{FF2B5EF4-FFF2-40B4-BE49-F238E27FC236}">
              <a16:creationId xmlns:a16="http://schemas.microsoft.com/office/drawing/2014/main" id="{10A07183-784B-4B41-BFC9-289E579634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10</xdr:col>
      <xdr:colOff>1</xdr:colOff>
      <xdr:row>17</xdr:row>
      <xdr:rowOff>35718</xdr:rowOff>
    </xdr:from>
    <xdr:ext cx="4737600" cy="3268800"/>
    <xdr:graphicFrame macro="">
      <xdr:nvGraphicFramePr>
        <xdr:cNvPr id="4" name="Chart 3">
          <a:extLst>
            <a:ext uri="{FF2B5EF4-FFF2-40B4-BE49-F238E27FC236}">
              <a16:creationId xmlns:a16="http://schemas.microsoft.com/office/drawing/2014/main" id="{E1F4192E-6824-46D0-96AB-07C88808E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10</xdr:col>
      <xdr:colOff>40481</xdr:colOff>
      <xdr:row>35</xdr:row>
      <xdr:rowOff>85725</xdr:rowOff>
    </xdr:from>
    <xdr:ext cx="4737600" cy="3268800"/>
    <xdr:graphicFrame macro="">
      <xdr:nvGraphicFramePr>
        <xdr:cNvPr id="5" name="Chart 4">
          <a:extLst>
            <a:ext uri="{FF2B5EF4-FFF2-40B4-BE49-F238E27FC236}">
              <a16:creationId xmlns:a16="http://schemas.microsoft.com/office/drawing/2014/main" id="{9EAC584E-27A3-4497-AA7C-D00272940B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19</xdr:col>
      <xdr:colOff>9526</xdr:colOff>
      <xdr:row>17</xdr:row>
      <xdr:rowOff>47625</xdr:rowOff>
    </xdr:from>
    <xdr:ext cx="4738686" cy="3270250"/>
    <xdr:graphicFrame macro="">
      <xdr:nvGraphicFramePr>
        <xdr:cNvPr id="6" name="Chart 5">
          <a:extLst>
            <a:ext uri="{FF2B5EF4-FFF2-40B4-BE49-F238E27FC236}">
              <a16:creationId xmlns:a16="http://schemas.microsoft.com/office/drawing/2014/main" id="{56C5FACF-5A8B-42A5-861C-FCE652ED8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19</xdr:col>
      <xdr:colOff>56356</xdr:colOff>
      <xdr:row>35</xdr:row>
      <xdr:rowOff>94456</xdr:rowOff>
    </xdr:from>
    <xdr:ext cx="4737600" cy="3268800"/>
    <xdr:graphicFrame macro="">
      <xdr:nvGraphicFramePr>
        <xdr:cNvPr id="7" name="Chart 6">
          <a:extLst>
            <a:ext uri="{FF2B5EF4-FFF2-40B4-BE49-F238E27FC236}">
              <a16:creationId xmlns:a16="http://schemas.microsoft.com/office/drawing/2014/main" id="{9DE6A03D-115C-4C3D-9563-4B56BBBAC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36801-5560-4BEC-8F8A-BCDF45907D2D}">
  <sheetPr codeName="Hoja1"/>
  <dimension ref="A1:C24"/>
  <sheetViews>
    <sheetView showGridLines="0" zoomScaleNormal="100" workbookViewId="0">
      <selection activeCell="A2" sqref="A2:C2"/>
    </sheetView>
  </sheetViews>
  <sheetFormatPr baseColWidth="10" defaultColWidth="8.7109375" defaultRowHeight="15" x14ac:dyDescent="0.25"/>
  <cols>
    <col min="1" max="1" width="32" style="3" customWidth="1"/>
    <col min="2" max="2" width="75.42578125" style="3" bestFit="1" customWidth="1"/>
    <col min="3" max="3" width="28" style="3" customWidth="1"/>
    <col min="4" max="16384" width="8.7109375" style="3"/>
  </cols>
  <sheetData>
    <row r="1" spans="1:3" ht="36" customHeight="1" x14ac:dyDescent="0.25">
      <c r="A1" s="137" t="s">
        <v>1312</v>
      </c>
      <c r="B1" s="137"/>
      <c r="C1" s="137"/>
    </row>
    <row r="2" spans="1:3" ht="13.5" customHeight="1" x14ac:dyDescent="0.25">
      <c r="A2" s="138" t="s">
        <v>169</v>
      </c>
      <c r="B2" s="138"/>
      <c r="C2" s="138"/>
    </row>
    <row r="3" spans="1:3" ht="18" customHeight="1" x14ac:dyDescent="0.25">
      <c r="A3" s="6" t="s">
        <v>168</v>
      </c>
      <c r="B3" s="6" t="s">
        <v>167</v>
      </c>
      <c r="C3" s="6" t="s">
        <v>166</v>
      </c>
    </row>
    <row r="4" spans="1:3" ht="18" customHeight="1" x14ac:dyDescent="0.25">
      <c r="A4" s="139" t="s">
        <v>165</v>
      </c>
      <c r="B4" s="139"/>
      <c r="C4" s="139"/>
    </row>
    <row r="5" spans="1:3" ht="42" customHeight="1" x14ac:dyDescent="0.25">
      <c r="A5" s="5" t="s">
        <v>164</v>
      </c>
      <c r="B5" s="5" t="s">
        <v>163</v>
      </c>
      <c r="C5" s="5" t="s">
        <v>162</v>
      </c>
    </row>
    <row r="6" spans="1:3" ht="42" customHeight="1" x14ac:dyDescent="0.25">
      <c r="A6" s="4" t="s">
        <v>161</v>
      </c>
      <c r="B6" s="4" t="s">
        <v>160</v>
      </c>
      <c r="C6" s="4" t="s">
        <v>159</v>
      </c>
    </row>
    <row r="7" spans="1:3" ht="42" customHeight="1" x14ac:dyDescent="0.25">
      <c r="A7" s="5" t="s">
        <v>158</v>
      </c>
      <c r="B7" s="5" t="s">
        <v>157</v>
      </c>
      <c r="C7" s="5" t="s">
        <v>156</v>
      </c>
    </row>
    <row r="8" spans="1:3" ht="42" customHeight="1" x14ac:dyDescent="0.25">
      <c r="A8" s="4" t="s">
        <v>155</v>
      </c>
      <c r="B8" s="4" t="s">
        <v>154</v>
      </c>
      <c r="C8" s="4" t="s">
        <v>153</v>
      </c>
    </row>
    <row r="10" spans="1:3" ht="18" customHeight="1" x14ac:dyDescent="0.25">
      <c r="A10" s="139" t="s">
        <v>152</v>
      </c>
      <c r="B10" s="139"/>
      <c r="C10" s="139"/>
    </row>
    <row r="11" spans="1:3" ht="42" customHeight="1" x14ac:dyDescent="0.25">
      <c r="A11" s="5" t="s">
        <v>151</v>
      </c>
      <c r="B11" s="5" t="s">
        <v>150</v>
      </c>
      <c r="C11" s="5" t="s">
        <v>141</v>
      </c>
    </row>
    <row r="12" spans="1:3" ht="42" customHeight="1" x14ac:dyDescent="0.25">
      <c r="A12" s="4" t="s">
        <v>149</v>
      </c>
      <c r="B12" s="4" t="s">
        <v>148</v>
      </c>
      <c r="C12" s="4" t="s">
        <v>141</v>
      </c>
    </row>
    <row r="13" spans="1:3" ht="42" customHeight="1" x14ac:dyDescent="0.25">
      <c r="A13" s="5" t="s">
        <v>147</v>
      </c>
      <c r="B13" s="5" t="s">
        <v>146</v>
      </c>
      <c r="C13" s="5" t="s">
        <v>141</v>
      </c>
    </row>
    <row r="14" spans="1:3" ht="42" customHeight="1" x14ac:dyDescent="0.25">
      <c r="A14" s="4" t="s">
        <v>145</v>
      </c>
      <c r="B14" s="4" t="s">
        <v>144</v>
      </c>
      <c r="C14" s="4" t="s">
        <v>141</v>
      </c>
    </row>
    <row r="15" spans="1:3" ht="42" customHeight="1" x14ac:dyDescent="0.25">
      <c r="A15" s="5" t="s">
        <v>143</v>
      </c>
      <c r="B15" s="5" t="s">
        <v>142</v>
      </c>
      <c r="C15" s="5" t="s">
        <v>141</v>
      </c>
    </row>
    <row r="16" spans="1:3" ht="42" customHeight="1" x14ac:dyDescent="0.25">
      <c r="A16" s="4" t="s">
        <v>140</v>
      </c>
      <c r="B16" s="4" t="s">
        <v>139</v>
      </c>
      <c r="C16" s="4" t="s">
        <v>138</v>
      </c>
    </row>
    <row r="18" spans="1:3" ht="18" customHeight="1" x14ac:dyDescent="0.25">
      <c r="A18" s="139" t="s">
        <v>137</v>
      </c>
      <c r="B18" s="139"/>
      <c r="C18" s="139"/>
    </row>
    <row r="19" spans="1:3" ht="42" customHeight="1" x14ac:dyDescent="0.25">
      <c r="A19" s="5" t="s">
        <v>136</v>
      </c>
      <c r="B19" s="5" t="s">
        <v>135</v>
      </c>
      <c r="C19" s="5" t="s">
        <v>134</v>
      </c>
    </row>
    <row r="20" spans="1:3" ht="42" customHeight="1" x14ac:dyDescent="0.25">
      <c r="A20" s="4" t="s">
        <v>133</v>
      </c>
      <c r="B20" s="4" t="s">
        <v>132</v>
      </c>
      <c r="C20" s="4" t="s">
        <v>131</v>
      </c>
    </row>
    <row r="21" spans="1:3" ht="42" customHeight="1" x14ac:dyDescent="0.25">
      <c r="A21" s="5" t="s">
        <v>130</v>
      </c>
      <c r="B21" s="5" t="s">
        <v>129</v>
      </c>
      <c r="C21" s="5" t="s">
        <v>128</v>
      </c>
    </row>
    <row r="22" spans="1:3" ht="42" customHeight="1" x14ac:dyDescent="0.25">
      <c r="A22" s="4" t="s">
        <v>127</v>
      </c>
      <c r="B22" s="4" t="s">
        <v>126</v>
      </c>
      <c r="C22" s="4" t="s">
        <v>125</v>
      </c>
    </row>
    <row r="23" spans="1:3" ht="42" customHeight="1" x14ac:dyDescent="0.25">
      <c r="A23" s="5" t="s">
        <v>124</v>
      </c>
      <c r="B23" s="5" t="s">
        <v>123</v>
      </c>
      <c r="C23" s="5" t="s">
        <v>122</v>
      </c>
    </row>
    <row r="24" spans="1:3" ht="42" customHeight="1" x14ac:dyDescent="0.25">
      <c r="A24" s="4" t="s">
        <v>121</v>
      </c>
      <c r="B24" s="4" t="s">
        <v>120</v>
      </c>
      <c r="C24" s="4" t="s">
        <v>119</v>
      </c>
    </row>
  </sheetData>
  <mergeCells count="5">
    <mergeCell ref="A1:C1"/>
    <mergeCell ref="A2:C2"/>
    <mergeCell ref="A4:C4"/>
    <mergeCell ref="A10:C10"/>
    <mergeCell ref="A18:C18"/>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C1016-BAF7-4276-BB10-88ADCE67D689}">
  <sheetPr codeName="Hoja2"/>
  <dimension ref="A1:M16"/>
  <sheetViews>
    <sheetView showGridLines="0" zoomScaleNormal="100" workbookViewId="0">
      <selection activeCell="A3" sqref="A3:D3"/>
    </sheetView>
  </sheetViews>
  <sheetFormatPr baseColWidth="10" defaultColWidth="8.7109375" defaultRowHeight="15" x14ac:dyDescent="0.25"/>
  <cols>
    <col min="1" max="1" width="5" style="3" customWidth="1"/>
    <col min="2" max="2" width="6" style="3" customWidth="1"/>
    <col min="3" max="3" width="26" style="3" customWidth="1"/>
    <col min="4" max="4" width="10" style="3" customWidth="1"/>
    <col min="5" max="5" width="4.28515625" style="3" customWidth="1"/>
    <col min="6" max="6" width="35.85546875" style="3" customWidth="1"/>
    <col min="7" max="7" width="10" style="3" customWidth="1"/>
    <col min="8" max="8" width="23" style="3" bestFit="1" customWidth="1"/>
    <col min="9" max="9" width="4.28515625" style="3" customWidth="1"/>
    <col min="10" max="10" width="26" style="3" customWidth="1"/>
    <col min="11" max="11" width="10" style="3" customWidth="1"/>
    <col min="12" max="12" width="21.7109375" style="3" bestFit="1" customWidth="1"/>
    <col min="13" max="13" width="5" style="3" customWidth="1"/>
    <col min="14" max="16384" width="8.7109375" style="3"/>
  </cols>
  <sheetData>
    <row r="1" spans="1:13" ht="27.75" customHeight="1" x14ac:dyDescent="0.25">
      <c r="A1" s="140" t="s">
        <v>212</v>
      </c>
      <c r="B1" s="140"/>
      <c r="C1" s="140"/>
      <c r="D1" s="140"/>
      <c r="E1" s="140"/>
      <c r="F1" s="140"/>
      <c r="G1" s="140"/>
      <c r="H1" s="140"/>
      <c r="I1" s="140"/>
      <c r="J1" s="140"/>
      <c r="K1" s="140"/>
      <c r="L1" s="140"/>
      <c r="M1" s="140"/>
    </row>
    <row r="3" spans="1:13" ht="18" customHeight="1" x14ac:dyDescent="0.25">
      <c r="B3" s="144" t="s">
        <v>211</v>
      </c>
      <c r="C3" s="144"/>
      <c r="D3" s="144"/>
      <c r="F3" s="143" t="s">
        <v>210</v>
      </c>
      <c r="G3" s="143"/>
      <c r="H3" s="143"/>
      <c r="J3" s="143" t="s">
        <v>209</v>
      </c>
      <c r="K3" s="143"/>
      <c r="L3" s="143"/>
    </row>
    <row r="4" spans="1:13" x14ac:dyDescent="0.25">
      <c r="B4" s="10" t="s">
        <v>208</v>
      </c>
      <c r="C4" s="10" t="s">
        <v>207</v>
      </c>
      <c r="D4" s="10" t="s">
        <v>86</v>
      </c>
      <c r="F4" s="10" t="s">
        <v>167</v>
      </c>
      <c r="G4" s="10" t="s">
        <v>89</v>
      </c>
      <c r="H4" s="10" t="s">
        <v>78</v>
      </c>
      <c r="J4" s="10" t="s">
        <v>167</v>
      </c>
      <c r="K4" s="10" t="s">
        <v>89</v>
      </c>
      <c r="L4" s="10" t="s">
        <v>78</v>
      </c>
    </row>
    <row r="5" spans="1:13" ht="30" customHeight="1" x14ac:dyDescent="0.25">
      <c r="B5" s="8">
        <v>1</v>
      </c>
      <c r="C5" s="7" t="s">
        <v>206</v>
      </c>
      <c r="D5" s="15">
        <v>0.4</v>
      </c>
      <c r="F5" s="7" t="s">
        <v>205</v>
      </c>
      <c r="G5" s="8">
        <v>1</v>
      </c>
      <c r="H5" s="7" t="s">
        <v>204</v>
      </c>
      <c r="J5" s="7" t="s">
        <v>203</v>
      </c>
      <c r="K5" s="8">
        <v>1</v>
      </c>
      <c r="L5" s="7" t="s">
        <v>202</v>
      </c>
    </row>
    <row r="6" spans="1:13" ht="30" customHeight="1" x14ac:dyDescent="0.25">
      <c r="B6" s="9">
        <v>2</v>
      </c>
      <c r="C6" s="4" t="s">
        <v>201</v>
      </c>
      <c r="D6" s="14">
        <v>0.25</v>
      </c>
      <c r="F6" s="4" t="s">
        <v>200</v>
      </c>
      <c r="G6" s="9">
        <v>2</v>
      </c>
      <c r="H6" s="4" t="s">
        <v>199</v>
      </c>
      <c r="J6" s="4" t="s">
        <v>198</v>
      </c>
      <c r="K6" s="9">
        <v>2</v>
      </c>
      <c r="L6" s="4" t="s">
        <v>197</v>
      </c>
    </row>
    <row r="7" spans="1:13" ht="30" customHeight="1" x14ac:dyDescent="0.25">
      <c r="B7" s="8">
        <v>3</v>
      </c>
      <c r="C7" s="7" t="s">
        <v>196</v>
      </c>
      <c r="D7" s="15">
        <v>0.25</v>
      </c>
      <c r="F7" s="7" t="s">
        <v>195</v>
      </c>
      <c r="G7" s="8">
        <v>3</v>
      </c>
      <c r="H7" s="7" t="s">
        <v>194</v>
      </c>
      <c r="J7" s="7" t="s">
        <v>193</v>
      </c>
      <c r="K7" s="8">
        <v>4</v>
      </c>
      <c r="L7" s="7" t="s">
        <v>192</v>
      </c>
    </row>
    <row r="8" spans="1:13" ht="36" customHeight="1" x14ac:dyDescent="0.25">
      <c r="B8" s="9">
        <v>4</v>
      </c>
      <c r="C8" s="4" t="s">
        <v>191</v>
      </c>
      <c r="D8" s="14">
        <v>0.1</v>
      </c>
      <c r="F8" s="4" t="s">
        <v>190</v>
      </c>
      <c r="G8" s="9">
        <v>4</v>
      </c>
      <c r="H8" s="4" t="s">
        <v>189</v>
      </c>
      <c r="J8" s="141" t="s">
        <v>188</v>
      </c>
      <c r="K8" s="141"/>
      <c r="L8" s="141"/>
    </row>
    <row r="9" spans="1:13" ht="36" customHeight="1" x14ac:dyDescent="0.25">
      <c r="B9" s="13"/>
      <c r="C9" s="12" t="s">
        <v>187</v>
      </c>
      <c r="D9" s="11">
        <f>SUM(D5:D8)</f>
        <v>1</v>
      </c>
      <c r="F9" s="141" t="s">
        <v>186</v>
      </c>
      <c r="G9" s="141"/>
      <c r="H9" s="141"/>
    </row>
    <row r="11" spans="1:13" ht="18" customHeight="1" x14ac:dyDescent="0.25">
      <c r="F11" s="142" t="s">
        <v>185</v>
      </c>
      <c r="G11" s="142"/>
      <c r="H11" s="142"/>
      <c r="J11" s="143" t="s">
        <v>184</v>
      </c>
      <c r="K11" s="143"/>
      <c r="L11" s="143"/>
    </row>
    <row r="12" spans="1:13" x14ac:dyDescent="0.25">
      <c r="F12" s="10" t="s">
        <v>167</v>
      </c>
      <c r="G12" s="10" t="s">
        <v>89</v>
      </c>
      <c r="H12" s="10" t="s">
        <v>78</v>
      </c>
      <c r="J12" s="10" t="s">
        <v>167</v>
      </c>
      <c r="K12" s="10" t="s">
        <v>89</v>
      </c>
      <c r="L12" s="10" t="s">
        <v>78</v>
      </c>
    </row>
    <row r="13" spans="1:13" ht="57" customHeight="1" x14ac:dyDescent="0.25">
      <c r="F13" s="7" t="s">
        <v>183</v>
      </c>
      <c r="G13" s="8">
        <v>1</v>
      </c>
      <c r="H13" s="7" t="s">
        <v>182</v>
      </c>
      <c r="J13" s="7" t="s">
        <v>181</v>
      </c>
      <c r="K13" s="8">
        <v>1</v>
      </c>
      <c r="L13" s="7" t="s">
        <v>180</v>
      </c>
    </row>
    <row r="14" spans="1:13" ht="57" customHeight="1" x14ac:dyDescent="0.25">
      <c r="F14" s="4" t="s">
        <v>179</v>
      </c>
      <c r="G14" s="9">
        <v>2</v>
      </c>
      <c r="H14" s="4" t="s">
        <v>178</v>
      </c>
      <c r="J14" s="4" t="s">
        <v>177</v>
      </c>
      <c r="K14" s="9">
        <v>2</v>
      </c>
      <c r="L14" s="4" t="s">
        <v>176</v>
      </c>
    </row>
    <row r="15" spans="1:13" ht="57" customHeight="1" x14ac:dyDescent="0.25">
      <c r="F15" s="7" t="s">
        <v>175</v>
      </c>
      <c r="G15" s="8">
        <v>3</v>
      </c>
      <c r="H15" s="7" t="s">
        <v>174</v>
      </c>
      <c r="J15" s="7" t="s">
        <v>173</v>
      </c>
      <c r="K15" s="8">
        <v>3</v>
      </c>
      <c r="L15" s="7" t="s">
        <v>172</v>
      </c>
    </row>
    <row r="16" spans="1:13" ht="36" customHeight="1" x14ac:dyDescent="0.25">
      <c r="F16" s="141" t="s">
        <v>171</v>
      </c>
      <c r="G16" s="141"/>
      <c r="H16" s="141"/>
      <c r="J16" s="141" t="s">
        <v>170</v>
      </c>
      <c r="K16" s="141"/>
      <c r="L16" s="141"/>
    </row>
  </sheetData>
  <mergeCells count="10">
    <mergeCell ref="A1:M1"/>
    <mergeCell ref="F9:H9"/>
    <mergeCell ref="F11:H11"/>
    <mergeCell ref="J11:L11"/>
    <mergeCell ref="F16:H16"/>
    <mergeCell ref="J16:L16"/>
    <mergeCell ref="B3:D3"/>
    <mergeCell ref="F3:H3"/>
    <mergeCell ref="J3:L3"/>
    <mergeCell ref="J8:L8"/>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6DE49-A085-4114-88B4-CFA88309A17F}">
  <sheetPr codeName="Hoja3"/>
  <dimension ref="A1:G8"/>
  <sheetViews>
    <sheetView showGridLines="0" zoomScaleNormal="100" workbookViewId="0">
      <selection activeCell="A3" sqref="A3:C3"/>
    </sheetView>
  </sheetViews>
  <sheetFormatPr baseColWidth="10" defaultColWidth="8.7109375" defaultRowHeight="15" x14ac:dyDescent="0.25"/>
  <cols>
    <col min="1" max="1" width="8" style="3" customWidth="1"/>
    <col min="2" max="2" width="18" style="3" customWidth="1"/>
    <col min="3" max="4" width="14" style="3" customWidth="1"/>
    <col min="5" max="7" width="28" style="3" customWidth="1"/>
    <col min="8" max="16384" width="8.7109375" style="3"/>
  </cols>
  <sheetData>
    <row r="1" spans="1:7" ht="27.75" customHeight="1" x14ac:dyDescent="0.25">
      <c r="A1" s="140" t="s">
        <v>242</v>
      </c>
      <c r="B1" s="140"/>
      <c r="C1" s="140"/>
      <c r="D1" s="140"/>
      <c r="E1" s="140"/>
      <c r="F1" s="140"/>
      <c r="G1" s="140"/>
    </row>
    <row r="2" spans="1:7" ht="15" customHeight="1" x14ac:dyDescent="0.25">
      <c r="A2" s="136" t="s">
        <v>241</v>
      </c>
      <c r="B2" s="136"/>
      <c r="C2" s="136"/>
      <c r="D2" s="136"/>
      <c r="E2" s="136"/>
      <c r="F2" s="136"/>
      <c r="G2" s="136"/>
    </row>
    <row r="3" spans="1:7" ht="21.75" customHeight="1" x14ac:dyDescent="0.25">
      <c r="A3" s="6" t="s">
        <v>91</v>
      </c>
      <c r="B3" s="6" t="s">
        <v>240</v>
      </c>
      <c r="C3" s="6" t="s">
        <v>239</v>
      </c>
      <c r="D3" s="6" t="s">
        <v>238</v>
      </c>
      <c r="E3" s="6" t="s">
        <v>237</v>
      </c>
      <c r="F3" s="6" t="s">
        <v>236</v>
      </c>
      <c r="G3" s="6" t="s">
        <v>235</v>
      </c>
    </row>
    <row r="4" spans="1:7" ht="48" customHeight="1" x14ac:dyDescent="0.25">
      <c r="A4" s="27">
        <v>1</v>
      </c>
      <c r="B4" s="27" t="s">
        <v>234</v>
      </c>
      <c r="C4" s="26" t="s">
        <v>233</v>
      </c>
      <c r="D4" s="25" t="s">
        <v>232</v>
      </c>
      <c r="E4" s="25" t="s">
        <v>227</v>
      </c>
      <c r="F4" s="25" t="s">
        <v>231</v>
      </c>
      <c r="G4" s="25" t="s">
        <v>225</v>
      </c>
    </row>
    <row r="5" spans="1:7" ht="48" customHeight="1" x14ac:dyDescent="0.25">
      <c r="A5" s="24">
        <v>2</v>
      </c>
      <c r="B5" s="24" t="s">
        <v>230</v>
      </c>
      <c r="C5" s="23" t="s">
        <v>229</v>
      </c>
      <c r="D5" s="22" t="s">
        <v>228</v>
      </c>
      <c r="E5" s="22" t="s">
        <v>227</v>
      </c>
      <c r="F5" s="22" t="s">
        <v>226</v>
      </c>
      <c r="G5" s="22" t="s">
        <v>225</v>
      </c>
    </row>
    <row r="6" spans="1:7" ht="48" customHeight="1" x14ac:dyDescent="0.25">
      <c r="A6" s="21">
        <v>3</v>
      </c>
      <c r="B6" s="21" t="s">
        <v>224</v>
      </c>
      <c r="C6" s="20" t="s">
        <v>223</v>
      </c>
      <c r="D6" s="19" t="s">
        <v>222</v>
      </c>
      <c r="E6" s="19" t="s">
        <v>221</v>
      </c>
      <c r="F6" s="19" t="s">
        <v>220</v>
      </c>
      <c r="G6" s="19" t="s">
        <v>219</v>
      </c>
    </row>
    <row r="7" spans="1:7" ht="48" customHeight="1" x14ac:dyDescent="0.25">
      <c r="A7" s="18">
        <v>4</v>
      </c>
      <c r="B7" s="18" t="s">
        <v>218</v>
      </c>
      <c r="C7" s="17" t="s">
        <v>217</v>
      </c>
      <c r="D7" s="16" t="s">
        <v>216</v>
      </c>
      <c r="E7" s="16" t="s">
        <v>215</v>
      </c>
      <c r="F7" s="16" t="s">
        <v>97</v>
      </c>
      <c r="G7" s="16" t="s">
        <v>214</v>
      </c>
    </row>
    <row r="8" spans="1:7" ht="36" customHeight="1" x14ac:dyDescent="0.25">
      <c r="A8" s="145" t="s">
        <v>213</v>
      </c>
      <c r="B8" s="145"/>
      <c r="C8" s="145"/>
      <c r="D8" s="145"/>
      <c r="E8" s="145"/>
      <c r="F8" s="145"/>
      <c r="G8" s="145"/>
    </row>
  </sheetData>
  <mergeCells count="3">
    <mergeCell ref="A1:G1"/>
    <mergeCell ref="A2:G2"/>
    <mergeCell ref="A8:G8"/>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DBB77-50C4-4B04-8CFD-5F35F52A7C95}">
  <sheetPr codeName="Hoja4"/>
  <dimension ref="A1:M54"/>
  <sheetViews>
    <sheetView showGridLines="0" topLeftCell="E1" zoomScaleNormal="100" workbookViewId="0">
      <selection sqref="A1:M1"/>
    </sheetView>
  </sheetViews>
  <sheetFormatPr baseColWidth="10" defaultColWidth="8.7109375" defaultRowHeight="15" x14ac:dyDescent="0.25"/>
  <cols>
    <col min="1" max="1" width="5" style="3" customWidth="1"/>
    <col min="2" max="2" width="33.140625" style="3" bestFit="1" customWidth="1"/>
    <col min="3" max="3" width="22" style="3" customWidth="1"/>
    <col min="4" max="4" width="18" style="3" customWidth="1"/>
    <col min="5" max="5" width="36" style="3" customWidth="1"/>
    <col min="6" max="6" width="14" style="3" customWidth="1"/>
    <col min="7" max="10" width="12" style="3" customWidth="1"/>
    <col min="11" max="11" width="14" style="3" customWidth="1"/>
    <col min="12" max="12" width="20" style="3" customWidth="1"/>
    <col min="13" max="13" width="27.140625" style="3" customWidth="1"/>
    <col min="14" max="16384" width="8.7109375" style="3"/>
  </cols>
  <sheetData>
    <row r="1" spans="1:13" ht="27.75" customHeight="1" x14ac:dyDescent="0.25">
      <c r="A1" s="140" t="s">
        <v>1361</v>
      </c>
      <c r="B1" s="140"/>
      <c r="C1" s="140"/>
      <c r="D1" s="140"/>
      <c r="E1" s="140"/>
      <c r="F1" s="140"/>
      <c r="G1" s="140"/>
      <c r="H1" s="140"/>
      <c r="I1" s="140"/>
      <c r="J1" s="140"/>
      <c r="K1" s="140"/>
      <c r="L1" s="140"/>
      <c r="M1" s="140"/>
    </row>
    <row r="2" spans="1:13" ht="15" customHeight="1" x14ac:dyDescent="0.25">
      <c r="A2" s="136" t="s">
        <v>869</v>
      </c>
      <c r="B2" s="136"/>
      <c r="C2" s="136"/>
      <c r="D2" s="136"/>
      <c r="E2" s="136"/>
      <c r="F2" s="136"/>
      <c r="G2" s="136"/>
      <c r="H2" s="136"/>
      <c r="I2" s="136"/>
      <c r="J2" s="136"/>
      <c r="K2" s="136"/>
      <c r="L2" s="136"/>
      <c r="M2" s="136"/>
    </row>
    <row r="3" spans="1:13" ht="31.5" customHeight="1" x14ac:dyDescent="0.25">
      <c r="A3" s="34" t="s">
        <v>303</v>
      </c>
      <c r="B3" s="34" t="s">
        <v>302</v>
      </c>
      <c r="C3" s="34" t="s">
        <v>206</v>
      </c>
      <c r="D3" s="34" t="s">
        <v>201</v>
      </c>
      <c r="E3" s="34" t="s">
        <v>301</v>
      </c>
      <c r="F3" s="34" t="s">
        <v>300</v>
      </c>
      <c r="G3" s="34" t="s">
        <v>299</v>
      </c>
      <c r="H3" s="34" t="s">
        <v>298</v>
      </c>
      <c r="I3" s="34" t="s">
        <v>297</v>
      </c>
      <c r="J3" s="34" t="s">
        <v>296</v>
      </c>
      <c r="K3" s="34" t="s">
        <v>295</v>
      </c>
      <c r="L3" s="34" t="s">
        <v>294</v>
      </c>
      <c r="M3" s="34" t="s">
        <v>238</v>
      </c>
    </row>
    <row r="4" spans="1:13" ht="19.5" customHeight="1" x14ac:dyDescent="0.25">
      <c r="A4" s="31">
        <v>1</v>
      </c>
      <c r="B4" s="5" t="s">
        <v>293</v>
      </c>
      <c r="C4" s="5" t="s">
        <v>205</v>
      </c>
      <c r="D4" s="5" t="s">
        <v>203</v>
      </c>
      <c r="E4" s="5" t="s">
        <v>0</v>
      </c>
      <c r="F4" s="33">
        <v>7</v>
      </c>
      <c r="G4" s="31">
        <f t="shared" ref="G4:G35" si="0">VLOOKUP(C4,TipoCliente,2,FALSE)</f>
        <v>1</v>
      </c>
      <c r="H4" s="31">
        <f t="shared" ref="H4:H35" si="1">VLOOKUP(D4,CanalAcceso,2,FALSE)</f>
        <v>1</v>
      </c>
      <c r="I4" s="31">
        <f t="shared" ref="I4:I35" si="2">IF(ISNUMBER(SEARCH(E4,"Guatemala,Sacatepéquez,Quetzaltenango,Chimaltenango")),1,
 IF(ISNUMBER(SEARCH(E4,"Escuintla,Suchitepéquez,Retalhuleu,Baja Verapaz,Totonicapán,Sololá,El Progreso,Jalapa,Jutiapa,Santa Rosa,Zacapa,Chiquimula")),2,
 IF(ISNUMBER(SEARCH(E4,"Petén,Izabal,Huehuetenango,San Marcos,Alta Verapaz,Quiché")),3,
 "No clasificado")))</f>
        <v>1</v>
      </c>
      <c r="J4" s="31">
        <f t="shared" ref="J4:J35" si="3">IF(F4&gt;5,1,IF(F4&gt;=1,2,3))</f>
        <v>1</v>
      </c>
      <c r="K4" s="30">
        <f>G4*'Caso 1 (Parámetros)'!$D$5 + H4*'Caso 1 (Parámetros)'!$D$6 + I4*'Caso 1 (Parámetros)'!$D$7 + J4*'Caso 1 (Parámetros)'!$D$8</f>
        <v>1</v>
      </c>
      <c r="L4" s="29" t="str" cm="1">
        <f t="array" ref="L4">_xlfn.SWITCH(TRUE, K4&lt;1.5,"BAJO", K4&lt;2.5,"MEDIO", K4&lt;3.25,"ALTO","CRÍTICO")</f>
        <v>BAJO</v>
      </c>
      <c r="M4" s="28" t="str">
        <f t="shared" ref="M4:M35" si="4">IF(K4&lt;1.5,"DDC Simplificada", IF(K4&lt;2.5,"DDC Estándar", IF(K4&lt;3.25,"DDC Reforzada","DDC Reforzada + Alta Gerencia")))</f>
        <v>DDC Simplificada</v>
      </c>
    </row>
    <row r="5" spans="1:13" ht="19.5" customHeight="1" x14ac:dyDescent="0.25">
      <c r="A5" s="9">
        <v>2</v>
      </c>
      <c r="B5" s="4" t="s">
        <v>292</v>
      </c>
      <c r="C5" s="4" t="s">
        <v>190</v>
      </c>
      <c r="D5" s="4" t="s">
        <v>198</v>
      </c>
      <c r="E5" s="4" t="s">
        <v>1</v>
      </c>
      <c r="F5" s="32">
        <v>0.5</v>
      </c>
      <c r="G5" s="31">
        <f t="shared" si="0"/>
        <v>4</v>
      </c>
      <c r="H5" s="31">
        <f t="shared" si="1"/>
        <v>2</v>
      </c>
      <c r="I5" s="31">
        <f t="shared" si="2"/>
        <v>3</v>
      </c>
      <c r="J5" s="31">
        <f t="shared" si="3"/>
        <v>3</v>
      </c>
      <c r="K5" s="30">
        <f>G5*'Caso 1 (Parámetros)'!$D$5 + H5*'Caso 1 (Parámetros)'!$D$6 + I5*'Caso 1 (Parámetros)'!$D$7 + J5*'Caso 1 (Parámetros)'!$D$8</f>
        <v>3.1500000000000004</v>
      </c>
      <c r="L5" s="29" t="str" cm="1">
        <f t="array" ref="L5">_xlfn.SWITCH(TRUE, K5&lt;1.5,"BAJO", K5&lt;2.5,"MEDIO", K5&lt;3.25,"ALTO","CRÍTICO")</f>
        <v>ALTO</v>
      </c>
      <c r="M5" s="28" t="str">
        <f t="shared" si="4"/>
        <v>DDC Reforzada</v>
      </c>
    </row>
    <row r="6" spans="1:13" ht="19.5" customHeight="1" x14ac:dyDescent="0.25">
      <c r="A6" s="31">
        <v>3</v>
      </c>
      <c r="B6" s="5" t="s">
        <v>291</v>
      </c>
      <c r="C6" s="5" t="s">
        <v>200</v>
      </c>
      <c r="D6" s="5" t="s">
        <v>203</v>
      </c>
      <c r="E6" s="5" t="s">
        <v>2</v>
      </c>
      <c r="F6" s="33">
        <v>3</v>
      </c>
      <c r="G6" s="31">
        <f t="shared" si="0"/>
        <v>2</v>
      </c>
      <c r="H6" s="31">
        <f t="shared" si="1"/>
        <v>1</v>
      </c>
      <c r="I6" s="31">
        <f t="shared" si="2"/>
        <v>3</v>
      </c>
      <c r="J6" s="31">
        <f t="shared" si="3"/>
        <v>2</v>
      </c>
      <c r="K6" s="30">
        <f>G6*'Caso 1 (Parámetros)'!$D$5 + H6*'Caso 1 (Parámetros)'!$D$6 + I6*'Caso 1 (Parámetros)'!$D$7 + J6*'Caso 1 (Parámetros)'!$D$8</f>
        <v>2</v>
      </c>
      <c r="L6" s="29" t="str" cm="1">
        <f t="array" ref="L6">_xlfn.SWITCH(TRUE, K6&lt;1.5,"BAJO", K6&lt;2.5,"MEDIO", K6&lt;3.25,"ALTO","CRÍTICO")</f>
        <v>MEDIO</v>
      </c>
      <c r="M6" s="28" t="str">
        <f t="shared" si="4"/>
        <v>DDC Estándar</v>
      </c>
    </row>
    <row r="7" spans="1:13" ht="19.5" customHeight="1" x14ac:dyDescent="0.25">
      <c r="A7" s="9">
        <v>4</v>
      </c>
      <c r="B7" s="4" t="s">
        <v>290</v>
      </c>
      <c r="C7" s="4" t="s">
        <v>195</v>
      </c>
      <c r="D7" s="4" t="s">
        <v>243</v>
      </c>
      <c r="E7" s="4" t="s">
        <v>3</v>
      </c>
      <c r="F7" s="32">
        <v>1.2</v>
      </c>
      <c r="G7" s="31">
        <f t="shared" si="0"/>
        <v>3</v>
      </c>
      <c r="H7" s="31">
        <f t="shared" si="1"/>
        <v>4</v>
      </c>
      <c r="I7" s="31">
        <f t="shared" si="2"/>
        <v>3</v>
      </c>
      <c r="J7" s="31">
        <f t="shared" si="3"/>
        <v>2</v>
      </c>
      <c r="K7" s="30">
        <f>G7*'Caso 1 (Parámetros)'!$D$5 + H7*'Caso 1 (Parámetros)'!$D$6 + I7*'Caso 1 (Parámetros)'!$D$7 + J7*'Caso 1 (Parámetros)'!$D$8</f>
        <v>3.1500000000000004</v>
      </c>
      <c r="L7" s="29" t="str" cm="1">
        <f t="array" ref="L7">_xlfn.SWITCH(TRUE, K7&lt;1.5,"BAJO", K7&lt;2.5,"MEDIO", K7&lt;3.25,"ALTO","CRÍTICO")</f>
        <v>ALTO</v>
      </c>
      <c r="M7" s="28" t="str">
        <f t="shared" si="4"/>
        <v>DDC Reforzada</v>
      </c>
    </row>
    <row r="8" spans="1:13" ht="19.5" customHeight="1" x14ac:dyDescent="0.25">
      <c r="A8" s="31">
        <v>5</v>
      </c>
      <c r="B8" s="5" t="s">
        <v>289</v>
      </c>
      <c r="C8" s="5" t="s">
        <v>205</v>
      </c>
      <c r="D8" s="5" t="s">
        <v>198</v>
      </c>
      <c r="E8" s="5" t="s">
        <v>4</v>
      </c>
      <c r="F8" s="33">
        <v>4</v>
      </c>
      <c r="G8" s="31">
        <f t="shared" si="0"/>
        <v>1</v>
      </c>
      <c r="H8" s="31">
        <f t="shared" si="1"/>
        <v>2</v>
      </c>
      <c r="I8" s="31">
        <f t="shared" si="2"/>
        <v>1</v>
      </c>
      <c r="J8" s="31">
        <f t="shared" si="3"/>
        <v>2</v>
      </c>
      <c r="K8" s="30">
        <f>G8*'Caso 1 (Parámetros)'!$D$5 + H8*'Caso 1 (Parámetros)'!$D$6 + I8*'Caso 1 (Parámetros)'!$D$7 + J8*'Caso 1 (Parámetros)'!$D$8</f>
        <v>1.3499999999999999</v>
      </c>
      <c r="L8" s="29" t="str" cm="1">
        <f t="array" ref="L8">_xlfn.SWITCH(TRUE, K8&lt;1.5,"BAJO", K8&lt;2.5,"MEDIO", K8&lt;3.25,"ALTO","CRÍTICO")</f>
        <v>BAJO</v>
      </c>
      <c r="M8" s="28" t="str">
        <f t="shared" si="4"/>
        <v>DDC Simplificada</v>
      </c>
    </row>
    <row r="9" spans="1:13" ht="19.5" customHeight="1" x14ac:dyDescent="0.25">
      <c r="A9" s="9">
        <v>6</v>
      </c>
      <c r="B9" s="4" t="s">
        <v>288</v>
      </c>
      <c r="C9" s="4" t="s">
        <v>200</v>
      </c>
      <c r="D9" s="4" t="s">
        <v>243</v>
      </c>
      <c r="E9" s="4" t="s">
        <v>5</v>
      </c>
      <c r="F9" s="32">
        <v>0.8</v>
      </c>
      <c r="G9" s="31">
        <f t="shared" si="0"/>
        <v>2</v>
      </c>
      <c r="H9" s="31">
        <f t="shared" si="1"/>
        <v>4</v>
      </c>
      <c r="I9" s="31">
        <f t="shared" si="2"/>
        <v>2</v>
      </c>
      <c r="J9" s="31">
        <f t="shared" si="3"/>
        <v>3</v>
      </c>
      <c r="K9" s="30">
        <f>G9*'Caso 1 (Parámetros)'!$D$5 + H9*'Caso 1 (Parámetros)'!$D$6 + I9*'Caso 1 (Parámetros)'!$D$7 + J9*'Caso 1 (Parámetros)'!$D$8</f>
        <v>2.5999999999999996</v>
      </c>
      <c r="L9" s="29" t="str" cm="1">
        <f t="array" ref="L9">_xlfn.SWITCH(TRUE, K9&lt;1.5,"BAJO", K9&lt;2.5,"MEDIO", K9&lt;3.25,"ALTO","CRÍTICO")</f>
        <v>ALTO</v>
      </c>
      <c r="M9" s="28" t="str">
        <f t="shared" si="4"/>
        <v>DDC Reforzada</v>
      </c>
    </row>
    <row r="10" spans="1:13" ht="19.5" customHeight="1" x14ac:dyDescent="0.25">
      <c r="A10" s="31">
        <v>7</v>
      </c>
      <c r="B10" s="5" t="s">
        <v>287</v>
      </c>
      <c r="C10" s="5" t="s">
        <v>190</v>
      </c>
      <c r="D10" s="5" t="s">
        <v>203</v>
      </c>
      <c r="E10" s="5" t="s">
        <v>0</v>
      </c>
      <c r="F10" s="33">
        <v>2</v>
      </c>
      <c r="G10" s="31">
        <f t="shared" si="0"/>
        <v>4</v>
      </c>
      <c r="H10" s="31">
        <f t="shared" si="1"/>
        <v>1</v>
      </c>
      <c r="I10" s="31">
        <f t="shared" si="2"/>
        <v>1</v>
      </c>
      <c r="J10" s="31">
        <f t="shared" si="3"/>
        <v>2</v>
      </c>
      <c r="K10" s="30">
        <f>G10*'Caso 1 (Parámetros)'!$D$5 + H10*'Caso 1 (Parámetros)'!$D$6 + I10*'Caso 1 (Parámetros)'!$D$7 + J10*'Caso 1 (Parámetros)'!$D$8</f>
        <v>2.3000000000000003</v>
      </c>
      <c r="L10" s="29" t="str" cm="1">
        <f t="array" ref="L10">_xlfn.SWITCH(TRUE, K10&lt;1.5,"BAJO", K10&lt;2.5,"MEDIO", K10&lt;3.25,"ALTO","CRÍTICO")</f>
        <v>MEDIO</v>
      </c>
      <c r="M10" s="28" t="str">
        <f t="shared" si="4"/>
        <v>DDC Estándar</v>
      </c>
    </row>
    <row r="11" spans="1:13" ht="19.5" customHeight="1" x14ac:dyDescent="0.25">
      <c r="A11" s="9">
        <v>8</v>
      </c>
      <c r="B11" s="4" t="s">
        <v>286</v>
      </c>
      <c r="C11" s="4" t="s">
        <v>200</v>
      </c>
      <c r="D11" s="4" t="s">
        <v>198</v>
      </c>
      <c r="E11" s="4" t="s">
        <v>6</v>
      </c>
      <c r="F11" s="32">
        <v>6</v>
      </c>
      <c r="G11" s="31">
        <f t="shared" si="0"/>
        <v>2</v>
      </c>
      <c r="H11" s="31">
        <f t="shared" si="1"/>
        <v>2</v>
      </c>
      <c r="I11" s="31">
        <f t="shared" si="2"/>
        <v>3</v>
      </c>
      <c r="J11" s="31">
        <f t="shared" si="3"/>
        <v>1</v>
      </c>
      <c r="K11" s="30">
        <f>G11*'Caso 1 (Parámetros)'!$D$5 + H11*'Caso 1 (Parámetros)'!$D$6 + I11*'Caso 1 (Parámetros)'!$D$7 + J11*'Caso 1 (Parámetros)'!$D$8</f>
        <v>2.15</v>
      </c>
      <c r="L11" s="29" t="str" cm="1">
        <f t="array" ref="L11">_xlfn.SWITCH(TRUE, K11&lt;1.5,"BAJO", K11&lt;2.5,"MEDIO", K11&lt;3.25,"ALTO","CRÍTICO")</f>
        <v>MEDIO</v>
      </c>
      <c r="M11" s="28" t="str">
        <f t="shared" si="4"/>
        <v>DDC Estándar</v>
      </c>
    </row>
    <row r="12" spans="1:13" ht="19.5" customHeight="1" x14ac:dyDescent="0.25">
      <c r="A12" s="31">
        <v>9</v>
      </c>
      <c r="B12" s="5" t="s">
        <v>285</v>
      </c>
      <c r="C12" s="5" t="s">
        <v>205</v>
      </c>
      <c r="D12" s="5" t="s">
        <v>203</v>
      </c>
      <c r="E12" s="5" t="s">
        <v>7</v>
      </c>
      <c r="F12" s="33">
        <v>0.3</v>
      </c>
      <c r="G12" s="31">
        <f t="shared" si="0"/>
        <v>1</v>
      </c>
      <c r="H12" s="31">
        <f t="shared" si="1"/>
        <v>1</v>
      </c>
      <c r="I12" s="31">
        <f t="shared" si="2"/>
        <v>3</v>
      </c>
      <c r="J12" s="31">
        <f t="shared" si="3"/>
        <v>3</v>
      </c>
      <c r="K12" s="30">
        <f>G12*'Caso 1 (Parámetros)'!$D$5 + H12*'Caso 1 (Parámetros)'!$D$6 + I12*'Caso 1 (Parámetros)'!$D$7 + J12*'Caso 1 (Parámetros)'!$D$8</f>
        <v>1.7</v>
      </c>
      <c r="L12" s="29" t="str" cm="1">
        <f t="array" ref="L12">_xlfn.SWITCH(TRUE, K12&lt;1.5,"BAJO", K12&lt;2.5,"MEDIO", K12&lt;3.25,"ALTO","CRÍTICO")</f>
        <v>MEDIO</v>
      </c>
      <c r="M12" s="28" t="str">
        <f t="shared" si="4"/>
        <v>DDC Estándar</v>
      </c>
    </row>
    <row r="13" spans="1:13" ht="19.5" customHeight="1" x14ac:dyDescent="0.25">
      <c r="A13" s="9">
        <v>10</v>
      </c>
      <c r="B13" s="4" t="s">
        <v>284</v>
      </c>
      <c r="C13" s="4" t="s">
        <v>200</v>
      </c>
      <c r="D13" s="4" t="s">
        <v>243</v>
      </c>
      <c r="E13" s="4" t="s">
        <v>1</v>
      </c>
      <c r="F13" s="32">
        <v>1</v>
      </c>
      <c r="G13" s="31">
        <f t="shared" si="0"/>
        <v>2</v>
      </c>
      <c r="H13" s="31">
        <f t="shared" si="1"/>
        <v>4</v>
      </c>
      <c r="I13" s="31">
        <f t="shared" si="2"/>
        <v>3</v>
      </c>
      <c r="J13" s="31">
        <f t="shared" si="3"/>
        <v>2</v>
      </c>
      <c r="K13" s="30">
        <f>G13*'Caso 1 (Parámetros)'!$D$5 + H13*'Caso 1 (Parámetros)'!$D$6 + I13*'Caso 1 (Parámetros)'!$D$7 + J13*'Caso 1 (Parámetros)'!$D$8</f>
        <v>2.75</v>
      </c>
      <c r="L13" s="29" t="str" cm="1">
        <f t="array" ref="L13">_xlfn.SWITCH(TRUE, K13&lt;1.5,"BAJO", K13&lt;2.5,"MEDIO", K13&lt;3.25,"ALTO","CRÍTICO")</f>
        <v>ALTO</v>
      </c>
      <c r="M13" s="28" t="str">
        <f t="shared" si="4"/>
        <v>DDC Reforzada</v>
      </c>
    </row>
    <row r="14" spans="1:13" ht="19.5" customHeight="1" x14ac:dyDescent="0.25">
      <c r="A14" s="31">
        <v>11</v>
      </c>
      <c r="B14" s="5" t="s">
        <v>283</v>
      </c>
      <c r="C14" s="5" t="s">
        <v>205</v>
      </c>
      <c r="D14" s="5" t="s">
        <v>198</v>
      </c>
      <c r="E14" s="5" t="s">
        <v>8</v>
      </c>
      <c r="F14" s="33">
        <v>8</v>
      </c>
      <c r="G14" s="31">
        <f t="shared" si="0"/>
        <v>1</v>
      </c>
      <c r="H14" s="31">
        <f t="shared" si="1"/>
        <v>2</v>
      </c>
      <c r="I14" s="31">
        <f t="shared" si="2"/>
        <v>1</v>
      </c>
      <c r="J14" s="31">
        <f t="shared" si="3"/>
        <v>1</v>
      </c>
      <c r="K14" s="30">
        <f>G14*'Caso 1 (Parámetros)'!$D$5 + H14*'Caso 1 (Parámetros)'!$D$6 + I14*'Caso 1 (Parámetros)'!$D$7 + J14*'Caso 1 (Parámetros)'!$D$8</f>
        <v>1.25</v>
      </c>
      <c r="L14" s="29" t="str" cm="1">
        <f t="array" ref="L14">_xlfn.SWITCH(TRUE, K14&lt;1.5,"BAJO", K14&lt;2.5,"MEDIO", K14&lt;3.25,"ALTO","CRÍTICO")</f>
        <v>BAJO</v>
      </c>
      <c r="M14" s="28" t="str">
        <f t="shared" si="4"/>
        <v>DDC Simplificada</v>
      </c>
    </row>
    <row r="15" spans="1:13" ht="19.5" customHeight="1" x14ac:dyDescent="0.25">
      <c r="A15" s="9">
        <v>12</v>
      </c>
      <c r="B15" s="4" t="s">
        <v>282</v>
      </c>
      <c r="C15" s="4" t="s">
        <v>200</v>
      </c>
      <c r="D15" s="4" t="s">
        <v>203</v>
      </c>
      <c r="E15" s="4" t="s">
        <v>3</v>
      </c>
      <c r="F15" s="32">
        <v>4</v>
      </c>
      <c r="G15" s="31">
        <f t="shared" si="0"/>
        <v>2</v>
      </c>
      <c r="H15" s="31">
        <f t="shared" si="1"/>
        <v>1</v>
      </c>
      <c r="I15" s="31">
        <f t="shared" si="2"/>
        <v>3</v>
      </c>
      <c r="J15" s="31">
        <f t="shared" si="3"/>
        <v>2</v>
      </c>
      <c r="K15" s="30">
        <f>G15*'Caso 1 (Parámetros)'!$D$5 + H15*'Caso 1 (Parámetros)'!$D$6 + I15*'Caso 1 (Parámetros)'!$D$7 + J15*'Caso 1 (Parámetros)'!$D$8</f>
        <v>2</v>
      </c>
      <c r="L15" s="29" t="str" cm="1">
        <f t="array" ref="L15">_xlfn.SWITCH(TRUE, K15&lt;1.5,"BAJO", K15&lt;2.5,"MEDIO", K15&lt;3.25,"ALTO","CRÍTICO")</f>
        <v>MEDIO</v>
      </c>
      <c r="M15" s="28" t="str">
        <f t="shared" si="4"/>
        <v>DDC Estándar</v>
      </c>
    </row>
    <row r="16" spans="1:13" ht="19.5" customHeight="1" x14ac:dyDescent="0.25">
      <c r="A16" s="31">
        <v>13</v>
      </c>
      <c r="B16" s="5" t="s">
        <v>281</v>
      </c>
      <c r="C16" s="5" t="s">
        <v>195</v>
      </c>
      <c r="D16" s="5" t="s">
        <v>243</v>
      </c>
      <c r="E16" s="5" t="s">
        <v>2</v>
      </c>
      <c r="F16" s="33">
        <v>0.6</v>
      </c>
      <c r="G16" s="31">
        <f t="shared" si="0"/>
        <v>3</v>
      </c>
      <c r="H16" s="31">
        <f t="shared" si="1"/>
        <v>4</v>
      </c>
      <c r="I16" s="31">
        <f t="shared" si="2"/>
        <v>3</v>
      </c>
      <c r="J16" s="31">
        <f t="shared" si="3"/>
        <v>3</v>
      </c>
      <c r="K16" s="30">
        <f>G16*'Caso 1 (Parámetros)'!$D$5 + H16*'Caso 1 (Parámetros)'!$D$6 + I16*'Caso 1 (Parámetros)'!$D$7 + J16*'Caso 1 (Parámetros)'!$D$8</f>
        <v>3.25</v>
      </c>
      <c r="L16" s="29" t="str" cm="1">
        <f t="array" ref="L16">_xlfn.SWITCH(TRUE, K16&lt;1.5,"BAJO", K16&lt;2.5,"MEDIO", K16&lt;3.25,"ALTO","CRÍTICO")</f>
        <v>CRÍTICO</v>
      </c>
      <c r="M16" s="28" t="str">
        <f t="shared" si="4"/>
        <v>DDC Reforzada + Alta Gerencia</v>
      </c>
    </row>
    <row r="17" spans="1:13" ht="19.5" customHeight="1" x14ac:dyDescent="0.25">
      <c r="A17" s="9">
        <v>14</v>
      </c>
      <c r="B17" s="4" t="s">
        <v>280</v>
      </c>
      <c r="C17" s="4" t="s">
        <v>190</v>
      </c>
      <c r="D17" s="4" t="s">
        <v>203</v>
      </c>
      <c r="E17" s="4" t="s">
        <v>0</v>
      </c>
      <c r="F17" s="32">
        <v>5</v>
      </c>
      <c r="G17" s="31">
        <f t="shared" si="0"/>
        <v>4</v>
      </c>
      <c r="H17" s="31">
        <f t="shared" si="1"/>
        <v>1</v>
      </c>
      <c r="I17" s="31">
        <f t="shared" si="2"/>
        <v>1</v>
      </c>
      <c r="J17" s="31">
        <f t="shared" si="3"/>
        <v>2</v>
      </c>
      <c r="K17" s="30">
        <f>G17*'Caso 1 (Parámetros)'!$D$5 + H17*'Caso 1 (Parámetros)'!$D$6 + I17*'Caso 1 (Parámetros)'!$D$7 + J17*'Caso 1 (Parámetros)'!$D$8</f>
        <v>2.3000000000000003</v>
      </c>
      <c r="L17" s="29" t="str" cm="1">
        <f t="array" ref="L17">_xlfn.SWITCH(TRUE, K17&lt;1.5,"BAJO", K17&lt;2.5,"MEDIO", K17&lt;3.25,"ALTO","CRÍTICO")</f>
        <v>MEDIO</v>
      </c>
      <c r="M17" s="28" t="str">
        <f t="shared" si="4"/>
        <v>DDC Estándar</v>
      </c>
    </row>
    <row r="18" spans="1:13" ht="19.5" customHeight="1" x14ac:dyDescent="0.25">
      <c r="A18" s="31">
        <v>15</v>
      </c>
      <c r="B18" s="5" t="s">
        <v>279</v>
      </c>
      <c r="C18" s="5" t="s">
        <v>200</v>
      </c>
      <c r="D18" s="5" t="s">
        <v>198</v>
      </c>
      <c r="E18" s="5" t="s">
        <v>1</v>
      </c>
      <c r="F18" s="33">
        <v>1.5</v>
      </c>
      <c r="G18" s="31">
        <f t="shared" si="0"/>
        <v>2</v>
      </c>
      <c r="H18" s="31">
        <f t="shared" si="1"/>
        <v>2</v>
      </c>
      <c r="I18" s="31">
        <f t="shared" si="2"/>
        <v>3</v>
      </c>
      <c r="J18" s="31">
        <f t="shared" si="3"/>
        <v>2</v>
      </c>
      <c r="K18" s="30">
        <f>G18*'Caso 1 (Parámetros)'!$D$5 + H18*'Caso 1 (Parámetros)'!$D$6 + I18*'Caso 1 (Parámetros)'!$D$7 + J18*'Caso 1 (Parámetros)'!$D$8</f>
        <v>2.25</v>
      </c>
      <c r="L18" s="29" t="str" cm="1">
        <f t="array" ref="L18">_xlfn.SWITCH(TRUE, K18&lt;1.5,"BAJO", K18&lt;2.5,"MEDIO", K18&lt;3.25,"ALTO","CRÍTICO")</f>
        <v>MEDIO</v>
      </c>
      <c r="M18" s="28" t="str">
        <f t="shared" si="4"/>
        <v>DDC Estándar</v>
      </c>
    </row>
    <row r="19" spans="1:13" ht="19.5" customHeight="1" x14ac:dyDescent="0.25">
      <c r="A19" s="9">
        <v>16</v>
      </c>
      <c r="B19" s="4" t="s">
        <v>278</v>
      </c>
      <c r="C19" s="4" t="s">
        <v>205</v>
      </c>
      <c r="D19" s="4" t="s">
        <v>203</v>
      </c>
      <c r="E19" s="4" t="s">
        <v>5</v>
      </c>
      <c r="F19" s="32">
        <v>9</v>
      </c>
      <c r="G19" s="31">
        <f t="shared" si="0"/>
        <v>1</v>
      </c>
      <c r="H19" s="31">
        <f t="shared" si="1"/>
        <v>1</v>
      </c>
      <c r="I19" s="31">
        <f t="shared" si="2"/>
        <v>2</v>
      </c>
      <c r="J19" s="31">
        <f t="shared" si="3"/>
        <v>1</v>
      </c>
      <c r="K19" s="30">
        <f>G19*'Caso 1 (Parámetros)'!$D$5 + H19*'Caso 1 (Parámetros)'!$D$6 + I19*'Caso 1 (Parámetros)'!$D$7 + J19*'Caso 1 (Parámetros)'!$D$8</f>
        <v>1.25</v>
      </c>
      <c r="L19" s="29" t="str" cm="1">
        <f t="array" ref="L19">_xlfn.SWITCH(TRUE, K19&lt;1.5,"BAJO", K19&lt;2.5,"MEDIO", K19&lt;3.25,"ALTO","CRÍTICO")</f>
        <v>BAJO</v>
      </c>
      <c r="M19" s="28" t="str">
        <f t="shared" si="4"/>
        <v>DDC Simplificada</v>
      </c>
    </row>
    <row r="20" spans="1:13" ht="19.5" customHeight="1" x14ac:dyDescent="0.25">
      <c r="A20" s="31">
        <v>17</v>
      </c>
      <c r="B20" s="5" t="s">
        <v>277</v>
      </c>
      <c r="C20" s="5" t="s">
        <v>200</v>
      </c>
      <c r="D20" s="5" t="s">
        <v>243</v>
      </c>
      <c r="E20" s="5" t="s">
        <v>7</v>
      </c>
      <c r="F20" s="33">
        <v>0.4</v>
      </c>
      <c r="G20" s="31">
        <f t="shared" si="0"/>
        <v>2</v>
      </c>
      <c r="H20" s="31">
        <f t="shared" si="1"/>
        <v>4</v>
      </c>
      <c r="I20" s="31">
        <f t="shared" si="2"/>
        <v>3</v>
      </c>
      <c r="J20" s="31">
        <f t="shared" si="3"/>
        <v>3</v>
      </c>
      <c r="K20" s="30">
        <f>G20*'Caso 1 (Parámetros)'!$D$5 + H20*'Caso 1 (Parámetros)'!$D$6 + I20*'Caso 1 (Parámetros)'!$D$7 + J20*'Caso 1 (Parámetros)'!$D$8</f>
        <v>2.8499999999999996</v>
      </c>
      <c r="L20" s="29" t="str" cm="1">
        <f t="array" ref="L20">_xlfn.SWITCH(TRUE, K20&lt;1.5,"BAJO", K20&lt;2.5,"MEDIO", K20&lt;3.25,"ALTO","CRÍTICO")</f>
        <v>ALTO</v>
      </c>
      <c r="M20" s="28" t="str">
        <f t="shared" si="4"/>
        <v>DDC Reforzada</v>
      </c>
    </row>
    <row r="21" spans="1:13" ht="19.5" customHeight="1" x14ac:dyDescent="0.25">
      <c r="A21" s="9">
        <v>18</v>
      </c>
      <c r="B21" s="4" t="s">
        <v>276</v>
      </c>
      <c r="C21" s="4" t="s">
        <v>190</v>
      </c>
      <c r="D21" s="4" t="s">
        <v>198</v>
      </c>
      <c r="E21" s="4" t="s">
        <v>3</v>
      </c>
      <c r="F21" s="32">
        <v>2.5</v>
      </c>
      <c r="G21" s="31">
        <f t="shared" si="0"/>
        <v>4</v>
      </c>
      <c r="H21" s="31">
        <f t="shared" si="1"/>
        <v>2</v>
      </c>
      <c r="I21" s="31">
        <f t="shared" si="2"/>
        <v>3</v>
      </c>
      <c r="J21" s="31">
        <f t="shared" si="3"/>
        <v>2</v>
      </c>
      <c r="K21" s="30">
        <f>G21*'Caso 1 (Parámetros)'!$D$5 + H21*'Caso 1 (Parámetros)'!$D$6 + I21*'Caso 1 (Parámetros)'!$D$7 + J21*'Caso 1 (Parámetros)'!$D$8</f>
        <v>3.0500000000000003</v>
      </c>
      <c r="L21" s="29" t="str" cm="1">
        <f t="array" ref="L21">_xlfn.SWITCH(TRUE, K21&lt;1.5,"BAJO", K21&lt;2.5,"MEDIO", K21&lt;3.25,"ALTO","CRÍTICO")</f>
        <v>ALTO</v>
      </c>
      <c r="M21" s="28" t="str">
        <f t="shared" si="4"/>
        <v>DDC Reforzada</v>
      </c>
    </row>
    <row r="22" spans="1:13" ht="19.5" customHeight="1" x14ac:dyDescent="0.25">
      <c r="A22" s="31">
        <v>19</v>
      </c>
      <c r="B22" s="5" t="s">
        <v>275</v>
      </c>
      <c r="C22" s="5" t="s">
        <v>200</v>
      </c>
      <c r="D22" s="5" t="s">
        <v>203</v>
      </c>
      <c r="E22" s="5" t="s">
        <v>0</v>
      </c>
      <c r="F22" s="33">
        <v>12</v>
      </c>
      <c r="G22" s="31">
        <f t="shared" si="0"/>
        <v>2</v>
      </c>
      <c r="H22" s="31">
        <f t="shared" si="1"/>
        <v>1</v>
      </c>
      <c r="I22" s="31">
        <f t="shared" si="2"/>
        <v>1</v>
      </c>
      <c r="J22" s="31">
        <f t="shared" si="3"/>
        <v>1</v>
      </c>
      <c r="K22" s="30">
        <f>G22*'Caso 1 (Parámetros)'!$D$5 + H22*'Caso 1 (Parámetros)'!$D$6 + I22*'Caso 1 (Parámetros)'!$D$7 + J22*'Caso 1 (Parámetros)'!$D$8</f>
        <v>1.4000000000000001</v>
      </c>
      <c r="L22" s="29" t="str" cm="1">
        <f t="array" ref="L22">_xlfn.SWITCH(TRUE, K22&lt;1.5,"BAJO", K22&lt;2.5,"MEDIO", K22&lt;3.25,"ALTO","CRÍTICO")</f>
        <v>BAJO</v>
      </c>
      <c r="M22" s="28" t="str">
        <f t="shared" si="4"/>
        <v>DDC Simplificada</v>
      </c>
    </row>
    <row r="23" spans="1:13" ht="19.5" customHeight="1" x14ac:dyDescent="0.25">
      <c r="A23" s="9">
        <v>20</v>
      </c>
      <c r="B23" s="4" t="s">
        <v>274</v>
      </c>
      <c r="C23" s="4" t="s">
        <v>195</v>
      </c>
      <c r="D23" s="4" t="s">
        <v>243</v>
      </c>
      <c r="E23" s="4" t="s">
        <v>9</v>
      </c>
      <c r="F23" s="32">
        <v>0.9</v>
      </c>
      <c r="G23" s="31">
        <f t="shared" si="0"/>
        <v>3</v>
      </c>
      <c r="H23" s="31">
        <f t="shared" si="1"/>
        <v>4</v>
      </c>
      <c r="I23" s="31">
        <f t="shared" si="2"/>
        <v>3</v>
      </c>
      <c r="J23" s="31">
        <f t="shared" si="3"/>
        <v>3</v>
      </c>
      <c r="K23" s="30">
        <f>G23*'Caso 1 (Parámetros)'!$D$5 + H23*'Caso 1 (Parámetros)'!$D$6 + I23*'Caso 1 (Parámetros)'!$D$7 + J23*'Caso 1 (Parámetros)'!$D$8</f>
        <v>3.25</v>
      </c>
      <c r="L23" s="29" t="str" cm="1">
        <f t="array" ref="L23">_xlfn.SWITCH(TRUE, K23&lt;1.5,"BAJO", K23&lt;2.5,"MEDIO", K23&lt;3.25,"ALTO","CRÍTICO")</f>
        <v>CRÍTICO</v>
      </c>
      <c r="M23" s="28" t="str">
        <f t="shared" si="4"/>
        <v>DDC Reforzada + Alta Gerencia</v>
      </c>
    </row>
    <row r="24" spans="1:13" ht="19.5" customHeight="1" x14ac:dyDescent="0.25">
      <c r="A24" s="31">
        <v>21</v>
      </c>
      <c r="B24" s="5" t="s">
        <v>273</v>
      </c>
      <c r="C24" s="5" t="s">
        <v>200</v>
      </c>
      <c r="D24" s="5" t="s">
        <v>198</v>
      </c>
      <c r="E24" s="5" t="s">
        <v>4</v>
      </c>
      <c r="F24" s="33">
        <v>3</v>
      </c>
      <c r="G24" s="31">
        <f t="shared" si="0"/>
        <v>2</v>
      </c>
      <c r="H24" s="31">
        <f t="shared" si="1"/>
        <v>2</v>
      </c>
      <c r="I24" s="31">
        <f t="shared" si="2"/>
        <v>1</v>
      </c>
      <c r="J24" s="31">
        <f t="shared" si="3"/>
        <v>2</v>
      </c>
      <c r="K24" s="30">
        <f>G24*'Caso 1 (Parámetros)'!$D$5 + H24*'Caso 1 (Parámetros)'!$D$6 + I24*'Caso 1 (Parámetros)'!$D$7 + J24*'Caso 1 (Parámetros)'!$D$8</f>
        <v>1.75</v>
      </c>
      <c r="L24" s="29" t="str" cm="1">
        <f t="array" ref="L24">_xlfn.SWITCH(TRUE, K24&lt;1.5,"BAJO", K24&lt;2.5,"MEDIO", K24&lt;3.25,"ALTO","CRÍTICO")</f>
        <v>MEDIO</v>
      </c>
      <c r="M24" s="28" t="str">
        <f t="shared" si="4"/>
        <v>DDC Estándar</v>
      </c>
    </row>
    <row r="25" spans="1:13" ht="19.5" customHeight="1" x14ac:dyDescent="0.25">
      <c r="A25" s="9">
        <v>22</v>
      </c>
      <c r="B25" s="4" t="s">
        <v>272</v>
      </c>
      <c r="C25" s="4" t="s">
        <v>205</v>
      </c>
      <c r="D25" s="4" t="s">
        <v>203</v>
      </c>
      <c r="E25" s="4" t="s">
        <v>271</v>
      </c>
      <c r="F25" s="32">
        <v>6</v>
      </c>
      <c r="G25" s="31">
        <f t="shared" si="0"/>
        <v>1</v>
      </c>
      <c r="H25" s="31">
        <f t="shared" si="1"/>
        <v>1</v>
      </c>
      <c r="I25" s="31">
        <f t="shared" si="2"/>
        <v>1</v>
      </c>
      <c r="J25" s="31">
        <f t="shared" si="3"/>
        <v>1</v>
      </c>
      <c r="K25" s="30">
        <f>G25*'Caso 1 (Parámetros)'!$D$5 + H25*'Caso 1 (Parámetros)'!$D$6 + I25*'Caso 1 (Parámetros)'!$D$7 + J25*'Caso 1 (Parámetros)'!$D$8</f>
        <v>1</v>
      </c>
      <c r="L25" s="29" t="str" cm="1">
        <f t="array" ref="L25">_xlfn.SWITCH(TRUE, K25&lt;1.5,"BAJO", K25&lt;2.5,"MEDIO", K25&lt;3.25,"ALTO","CRÍTICO")</f>
        <v>BAJO</v>
      </c>
      <c r="M25" s="28" t="str">
        <f t="shared" si="4"/>
        <v>DDC Simplificada</v>
      </c>
    </row>
    <row r="26" spans="1:13" ht="19.5" customHeight="1" x14ac:dyDescent="0.25">
      <c r="A26" s="31">
        <v>23</v>
      </c>
      <c r="B26" s="5" t="s">
        <v>270</v>
      </c>
      <c r="C26" s="5" t="s">
        <v>200</v>
      </c>
      <c r="D26" s="5" t="s">
        <v>243</v>
      </c>
      <c r="E26" s="5" t="s">
        <v>2</v>
      </c>
      <c r="F26" s="33">
        <v>1.8</v>
      </c>
      <c r="G26" s="31">
        <f t="shared" si="0"/>
        <v>2</v>
      </c>
      <c r="H26" s="31">
        <f t="shared" si="1"/>
        <v>4</v>
      </c>
      <c r="I26" s="31">
        <f t="shared" si="2"/>
        <v>3</v>
      </c>
      <c r="J26" s="31">
        <f t="shared" si="3"/>
        <v>2</v>
      </c>
      <c r="K26" s="30">
        <f>G26*'Caso 1 (Parámetros)'!$D$5 + H26*'Caso 1 (Parámetros)'!$D$6 + I26*'Caso 1 (Parámetros)'!$D$7 + J26*'Caso 1 (Parámetros)'!$D$8</f>
        <v>2.75</v>
      </c>
      <c r="L26" s="29" t="str" cm="1">
        <f t="array" ref="L26">_xlfn.SWITCH(TRUE, K26&lt;1.5,"BAJO", K26&lt;2.5,"MEDIO", K26&lt;3.25,"ALTO","CRÍTICO")</f>
        <v>ALTO</v>
      </c>
      <c r="M26" s="28" t="str">
        <f t="shared" si="4"/>
        <v>DDC Reforzada</v>
      </c>
    </row>
    <row r="27" spans="1:13" ht="19.5" customHeight="1" x14ac:dyDescent="0.25">
      <c r="A27" s="9">
        <v>24</v>
      </c>
      <c r="B27" s="4" t="s">
        <v>269</v>
      </c>
      <c r="C27" s="4" t="s">
        <v>190</v>
      </c>
      <c r="D27" s="4" t="s">
        <v>203</v>
      </c>
      <c r="E27" s="4" t="s">
        <v>1</v>
      </c>
      <c r="F27" s="32">
        <v>4</v>
      </c>
      <c r="G27" s="31">
        <f t="shared" si="0"/>
        <v>4</v>
      </c>
      <c r="H27" s="31">
        <f t="shared" si="1"/>
        <v>1</v>
      </c>
      <c r="I27" s="31">
        <f t="shared" si="2"/>
        <v>3</v>
      </c>
      <c r="J27" s="31">
        <f t="shared" si="3"/>
        <v>2</v>
      </c>
      <c r="K27" s="30">
        <f>G27*'Caso 1 (Parámetros)'!$D$5 + H27*'Caso 1 (Parámetros)'!$D$6 + I27*'Caso 1 (Parámetros)'!$D$7 + J27*'Caso 1 (Parámetros)'!$D$8</f>
        <v>2.8000000000000003</v>
      </c>
      <c r="L27" s="29" t="str" cm="1">
        <f t="array" ref="L27">_xlfn.SWITCH(TRUE, K27&lt;1.5,"BAJO", K27&lt;2.5,"MEDIO", K27&lt;3.25,"ALTO","CRÍTICO")</f>
        <v>ALTO</v>
      </c>
      <c r="M27" s="28" t="str">
        <f t="shared" si="4"/>
        <v>DDC Reforzada</v>
      </c>
    </row>
    <row r="28" spans="1:13" ht="19.5" customHeight="1" x14ac:dyDescent="0.25">
      <c r="A28" s="31">
        <v>25</v>
      </c>
      <c r="B28" s="5" t="s">
        <v>268</v>
      </c>
      <c r="C28" s="5" t="s">
        <v>200</v>
      </c>
      <c r="D28" s="5" t="s">
        <v>198</v>
      </c>
      <c r="E28" s="5" t="s">
        <v>0</v>
      </c>
      <c r="F28" s="33">
        <v>2</v>
      </c>
      <c r="G28" s="31">
        <f t="shared" si="0"/>
        <v>2</v>
      </c>
      <c r="H28" s="31">
        <f t="shared" si="1"/>
        <v>2</v>
      </c>
      <c r="I28" s="31">
        <f t="shared" si="2"/>
        <v>1</v>
      </c>
      <c r="J28" s="31">
        <f t="shared" si="3"/>
        <v>2</v>
      </c>
      <c r="K28" s="30">
        <f>G28*'Caso 1 (Parámetros)'!$D$5 + H28*'Caso 1 (Parámetros)'!$D$6 + I28*'Caso 1 (Parámetros)'!$D$7 + J28*'Caso 1 (Parámetros)'!$D$8</f>
        <v>1.75</v>
      </c>
      <c r="L28" s="29" t="str" cm="1">
        <f t="array" ref="L28">_xlfn.SWITCH(TRUE, K28&lt;1.5,"BAJO", K28&lt;2.5,"MEDIO", K28&lt;3.25,"ALTO","CRÍTICO")</f>
        <v>MEDIO</v>
      </c>
      <c r="M28" s="28" t="str">
        <f t="shared" si="4"/>
        <v>DDC Estándar</v>
      </c>
    </row>
    <row r="29" spans="1:13" ht="19.5" customHeight="1" x14ac:dyDescent="0.25">
      <c r="A29" s="9">
        <v>26</v>
      </c>
      <c r="B29" s="4" t="s">
        <v>10</v>
      </c>
      <c r="C29" s="4" t="s">
        <v>205</v>
      </c>
      <c r="D29" s="4" t="s">
        <v>203</v>
      </c>
      <c r="E29" s="4" t="s">
        <v>6</v>
      </c>
      <c r="F29" s="32">
        <v>0.7</v>
      </c>
      <c r="G29" s="31">
        <f t="shared" si="0"/>
        <v>1</v>
      </c>
      <c r="H29" s="31">
        <f t="shared" si="1"/>
        <v>1</v>
      </c>
      <c r="I29" s="31">
        <f t="shared" si="2"/>
        <v>3</v>
      </c>
      <c r="J29" s="31">
        <f t="shared" si="3"/>
        <v>3</v>
      </c>
      <c r="K29" s="30">
        <f>G29*'Caso 1 (Parámetros)'!$D$5 + H29*'Caso 1 (Parámetros)'!$D$6 + I29*'Caso 1 (Parámetros)'!$D$7 + J29*'Caso 1 (Parámetros)'!$D$8</f>
        <v>1.7</v>
      </c>
      <c r="L29" s="29" t="str" cm="1">
        <f t="array" ref="L29">_xlfn.SWITCH(TRUE, K29&lt;1.5,"BAJO", K29&lt;2.5,"MEDIO", K29&lt;3.25,"ALTO","CRÍTICO")</f>
        <v>MEDIO</v>
      </c>
      <c r="M29" s="28" t="str">
        <f t="shared" si="4"/>
        <v>DDC Estándar</v>
      </c>
    </row>
    <row r="30" spans="1:13" ht="19.5" customHeight="1" x14ac:dyDescent="0.25">
      <c r="A30" s="31">
        <v>27</v>
      </c>
      <c r="B30" s="5" t="s">
        <v>267</v>
      </c>
      <c r="C30" s="5" t="s">
        <v>200</v>
      </c>
      <c r="D30" s="5" t="s">
        <v>243</v>
      </c>
      <c r="E30" s="5" t="s">
        <v>5</v>
      </c>
      <c r="F30" s="33">
        <v>5</v>
      </c>
      <c r="G30" s="31">
        <f t="shared" si="0"/>
        <v>2</v>
      </c>
      <c r="H30" s="31">
        <f t="shared" si="1"/>
        <v>4</v>
      </c>
      <c r="I30" s="31">
        <f t="shared" si="2"/>
        <v>2</v>
      </c>
      <c r="J30" s="31">
        <f t="shared" si="3"/>
        <v>2</v>
      </c>
      <c r="K30" s="30">
        <f>G30*'Caso 1 (Parámetros)'!$D$5 + H30*'Caso 1 (Parámetros)'!$D$6 + I30*'Caso 1 (Parámetros)'!$D$7 + J30*'Caso 1 (Parámetros)'!$D$8</f>
        <v>2.5</v>
      </c>
      <c r="L30" s="29" t="str" cm="1">
        <f t="array" ref="L30">_xlfn.SWITCH(TRUE, K30&lt;1.5,"BAJO", K30&lt;2.5,"MEDIO", K30&lt;3.25,"ALTO","CRÍTICO")</f>
        <v>ALTO</v>
      </c>
      <c r="M30" s="28" t="str">
        <f t="shared" si="4"/>
        <v>DDC Reforzada</v>
      </c>
    </row>
    <row r="31" spans="1:13" ht="19.5" customHeight="1" x14ac:dyDescent="0.25">
      <c r="A31" s="9">
        <v>28</v>
      </c>
      <c r="B31" s="4" t="s">
        <v>266</v>
      </c>
      <c r="C31" s="4" t="s">
        <v>195</v>
      </c>
      <c r="D31" s="4" t="s">
        <v>198</v>
      </c>
      <c r="E31" s="4" t="s">
        <v>3</v>
      </c>
      <c r="F31" s="32">
        <v>1.3</v>
      </c>
      <c r="G31" s="31">
        <f t="shared" si="0"/>
        <v>3</v>
      </c>
      <c r="H31" s="31">
        <f t="shared" si="1"/>
        <v>2</v>
      </c>
      <c r="I31" s="31">
        <f t="shared" si="2"/>
        <v>3</v>
      </c>
      <c r="J31" s="31">
        <f t="shared" si="3"/>
        <v>2</v>
      </c>
      <c r="K31" s="30">
        <f>G31*'Caso 1 (Parámetros)'!$D$5 + H31*'Caso 1 (Parámetros)'!$D$6 + I31*'Caso 1 (Parámetros)'!$D$7 + J31*'Caso 1 (Parámetros)'!$D$8</f>
        <v>2.6500000000000004</v>
      </c>
      <c r="L31" s="29" t="str" cm="1">
        <f t="array" ref="L31">_xlfn.SWITCH(TRUE, K31&lt;1.5,"BAJO", K31&lt;2.5,"MEDIO", K31&lt;3.25,"ALTO","CRÍTICO")</f>
        <v>ALTO</v>
      </c>
      <c r="M31" s="28" t="str">
        <f t="shared" si="4"/>
        <v>DDC Reforzada</v>
      </c>
    </row>
    <row r="32" spans="1:13" ht="19.5" customHeight="1" x14ac:dyDescent="0.25">
      <c r="A32" s="31">
        <v>29</v>
      </c>
      <c r="B32" s="5" t="s">
        <v>265</v>
      </c>
      <c r="C32" s="5" t="s">
        <v>190</v>
      </c>
      <c r="D32" s="5" t="s">
        <v>203</v>
      </c>
      <c r="E32" s="5" t="s">
        <v>0</v>
      </c>
      <c r="F32" s="33">
        <v>10</v>
      </c>
      <c r="G32" s="31">
        <f t="shared" si="0"/>
        <v>4</v>
      </c>
      <c r="H32" s="31">
        <f t="shared" si="1"/>
        <v>1</v>
      </c>
      <c r="I32" s="31">
        <f t="shared" si="2"/>
        <v>1</v>
      </c>
      <c r="J32" s="31">
        <f t="shared" si="3"/>
        <v>1</v>
      </c>
      <c r="K32" s="30">
        <f>G32*'Caso 1 (Parámetros)'!$D$5 + H32*'Caso 1 (Parámetros)'!$D$6 + I32*'Caso 1 (Parámetros)'!$D$7 + J32*'Caso 1 (Parámetros)'!$D$8</f>
        <v>2.2000000000000002</v>
      </c>
      <c r="L32" s="29" t="str" cm="1">
        <f t="array" ref="L32">_xlfn.SWITCH(TRUE, K32&lt;1.5,"BAJO", K32&lt;2.5,"MEDIO", K32&lt;3.25,"ALTO","CRÍTICO")</f>
        <v>MEDIO</v>
      </c>
      <c r="M32" s="28" t="str">
        <f t="shared" si="4"/>
        <v>DDC Estándar</v>
      </c>
    </row>
    <row r="33" spans="1:13" ht="19.5" customHeight="1" x14ac:dyDescent="0.25">
      <c r="A33" s="9">
        <v>30</v>
      </c>
      <c r="B33" s="4" t="s">
        <v>264</v>
      </c>
      <c r="C33" s="4" t="s">
        <v>200</v>
      </c>
      <c r="D33" s="4" t="s">
        <v>243</v>
      </c>
      <c r="E33" s="4" t="s">
        <v>7</v>
      </c>
      <c r="F33" s="32">
        <v>0.5</v>
      </c>
      <c r="G33" s="31">
        <f t="shared" si="0"/>
        <v>2</v>
      </c>
      <c r="H33" s="31">
        <f t="shared" si="1"/>
        <v>4</v>
      </c>
      <c r="I33" s="31">
        <f t="shared" si="2"/>
        <v>3</v>
      </c>
      <c r="J33" s="31">
        <f t="shared" si="3"/>
        <v>3</v>
      </c>
      <c r="K33" s="30">
        <f>G33*'Caso 1 (Parámetros)'!$D$5 + H33*'Caso 1 (Parámetros)'!$D$6 + I33*'Caso 1 (Parámetros)'!$D$7 + J33*'Caso 1 (Parámetros)'!$D$8</f>
        <v>2.8499999999999996</v>
      </c>
      <c r="L33" s="29" t="str" cm="1">
        <f t="array" ref="L33">_xlfn.SWITCH(TRUE, K33&lt;1.5,"BAJO", K33&lt;2.5,"MEDIO", K33&lt;3.25,"ALTO","CRÍTICO")</f>
        <v>ALTO</v>
      </c>
      <c r="M33" s="28" t="str">
        <f t="shared" si="4"/>
        <v>DDC Reforzada</v>
      </c>
    </row>
    <row r="34" spans="1:13" ht="19.5" customHeight="1" x14ac:dyDescent="0.25">
      <c r="A34" s="31">
        <v>31</v>
      </c>
      <c r="B34" s="5" t="s">
        <v>263</v>
      </c>
      <c r="C34" s="5" t="s">
        <v>205</v>
      </c>
      <c r="D34" s="5" t="s">
        <v>198</v>
      </c>
      <c r="E34" s="5" t="s">
        <v>8</v>
      </c>
      <c r="F34" s="33">
        <v>3.5</v>
      </c>
      <c r="G34" s="31">
        <f t="shared" si="0"/>
        <v>1</v>
      </c>
      <c r="H34" s="31">
        <f t="shared" si="1"/>
        <v>2</v>
      </c>
      <c r="I34" s="31">
        <f t="shared" si="2"/>
        <v>1</v>
      </c>
      <c r="J34" s="31">
        <f t="shared" si="3"/>
        <v>2</v>
      </c>
      <c r="K34" s="30">
        <f>G34*'Caso 1 (Parámetros)'!$D$5 + H34*'Caso 1 (Parámetros)'!$D$6 + I34*'Caso 1 (Parámetros)'!$D$7 + J34*'Caso 1 (Parámetros)'!$D$8</f>
        <v>1.3499999999999999</v>
      </c>
      <c r="L34" s="29" t="str" cm="1">
        <f t="array" ref="L34">_xlfn.SWITCH(TRUE, K34&lt;1.5,"BAJO", K34&lt;2.5,"MEDIO", K34&lt;3.25,"ALTO","CRÍTICO")</f>
        <v>BAJO</v>
      </c>
      <c r="M34" s="28" t="str">
        <f t="shared" si="4"/>
        <v>DDC Simplificada</v>
      </c>
    </row>
    <row r="35" spans="1:13" ht="19.5" customHeight="1" x14ac:dyDescent="0.25">
      <c r="A35" s="9">
        <v>32</v>
      </c>
      <c r="B35" s="4" t="s">
        <v>262</v>
      </c>
      <c r="C35" s="4" t="s">
        <v>200</v>
      </c>
      <c r="D35" s="4" t="s">
        <v>203</v>
      </c>
      <c r="E35" s="4" t="s">
        <v>7</v>
      </c>
      <c r="F35" s="32">
        <v>2.8</v>
      </c>
      <c r="G35" s="31">
        <f t="shared" si="0"/>
        <v>2</v>
      </c>
      <c r="H35" s="31">
        <f t="shared" si="1"/>
        <v>1</v>
      </c>
      <c r="I35" s="31">
        <f t="shared" si="2"/>
        <v>3</v>
      </c>
      <c r="J35" s="31">
        <f t="shared" si="3"/>
        <v>2</v>
      </c>
      <c r="K35" s="30">
        <f>G35*'Caso 1 (Parámetros)'!$D$5 + H35*'Caso 1 (Parámetros)'!$D$6 + I35*'Caso 1 (Parámetros)'!$D$7 + J35*'Caso 1 (Parámetros)'!$D$8</f>
        <v>2</v>
      </c>
      <c r="L35" s="29" t="str" cm="1">
        <f t="array" ref="L35">_xlfn.SWITCH(TRUE, K35&lt;1.5,"BAJO", K35&lt;2.5,"MEDIO", K35&lt;3.25,"ALTO","CRÍTICO")</f>
        <v>MEDIO</v>
      </c>
      <c r="M35" s="28" t="str">
        <f t="shared" si="4"/>
        <v>DDC Estándar</v>
      </c>
    </row>
    <row r="36" spans="1:13" ht="19.5" customHeight="1" x14ac:dyDescent="0.25">
      <c r="A36" s="31">
        <v>33</v>
      </c>
      <c r="B36" s="5" t="s">
        <v>261</v>
      </c>
      <c r="C36" s="5" t="s">
        <v>205</v>
      </c>
      <c r="D36" s="5" t="s">
        <v>243</v>
      </c>
      <c r="E36" s="5" t="s">
        <v>1</v>
      </c>
      <c r="F36" s="33">
        <v>0.2</v>
      </c>
      <c r="G36" s="31">
        <f t="shared" ref="G36:G53" si="5">VLOOKUP(C36,TipoCliente,2,FALSE)</f>
        <v>1</v>
      </c>
      <c r="H36" s="31">
        <f t="shared" ref="H36:H53" si="6">VLOOKUP(D36,CanalAcceso,2,FALSE)</f>
        <v>4</v>
      </c>
      <c r="I36" s="31">
        <f t="shared" ref="I36:I53" si="7">IF(ISNUMBER(SEARCH(E36,"Guatemala,Sacatepéquez,Quetzaltenango,Chimaltenango")),1,
 IF(ISNUMBER(SEARCH(E36,"Escuintla,Suchitepéquez,Retalhuleu,Baja Verapaz,Totonicapán,Sololá,El Progreso,Jalapa,Jutiapa,Santa Rosa,Zacapa,Chiquimula")),2,
 IF(ISNUMBER(SEARCH(E36,"Petén,Izabal,Huehuetenango,San Marcos,Alta Verapaz,Quiché")),3,
 "No clasificado")))</f>
        <v>3</v>
      </c>
      <c r="J36" s="31">
        <f t="shared" ref="J36:J53" si="8">IF(F36&gt;5,1,IF(F36&gt;=1,2,3))</f>
        <v>3</v>
      </c>
      <c r="K36" s="30">
        <f>G36*'Caso 1 (Parámetros)'!$D$5 + H36*'Caso 1 (Parámetros)'!$D$6 + I36*'Caso 1 (Parámetros)'!$D$7 + J36*'Caso 1 (Parámetros)'!$D$8</f>
        <v>2.4500000000000002</v>
      </c>
      <c r="L36" s="29" t="str" cm="1">
        <f t="array" ref="L36">_xlfn.SWITCH(TRUE, K36&lt;1.5,"BAJO", K36&lt;2.5,"MEDIO", K36&lt;3.25,"ALTO","CRÍTICO")</f>
        <v>MEDIO</v>
      </c>
      <c r="M36" s="28" t="str">
        <f t="shared" ref="M36:M53" si="9">IF(K36&lt;1.5,"DDC Simplificada", IF(K36&lt;2.5,"DDC Estándar", IF(K36&lt;3.25,"DDC Reforzada","DDC Reforzada + Alta Gerencia")))</f>
        <v>DDC Estándar</v>
      </c>
    </row>
    <row r="37" spans="1:13" ht="19.5" customHeight="1" x14ac:dyDescent="0.25">
      <c r="A37" s="9">
        <v>34</v>
      </c>
      <c r="B37" s="4" t="s">
        <v>260</v>
      </c>
      <c r="C37" s="4" t="s">
        <v>200</v>
      </c>
      <c r="D37" s="4" t="s">
        <v>198</v>
      </c>
      <c r="E37" s="4" t="s">
        <v>5</v>
      </c>
      <c r="F37" s="32">
        <v>1.1000000000000001</v>
      </c>
      <c r="G37" s="31">
        <f t="shared" si="5"/>
        <v>2</v>
      </c>
      <c r="H37" s="31">
        <f t="shared" si="6"/>
        <v>2</v>
      </c>
      <c r="I37" s="31">
        <f t="shared" si="7"/>
        <v>2</v>
      </c>
      <c r="J37" s="31">
        <f t="shared" si="8"/>
        <v>2</v>
      </c>
      <c r="K37" s="30">
        <f>G37*'Caso 1 (Parámetros)'!$D$5 + H37*'Caso 1 (Parámetros)'!$D$6 + I37*'Caso 1 (Parámetros)'!$D$7 + J37*'Caso 1 (Parámetros)'!$D$8</f>
        <v>2</v>
      </c>
      <c r="L37" s="29" t="str" cm="1">
        <f t="array" ref="L37">_xlfn.SWITCH(TRUE, K37&lt;1.5,"BAJO", K37&lt;2.5,"MEDIO", K37&lt;3.25,"ALTO","CRÍTICO")</f>
        <v>MEDIO</v>
      </c>
      <c r="M37" s="28" t="str">
        <f t="shared" si="9"/>
        <v>DDC Estándar</v>
      </c>
    </row>
    <row r="38" spans="1:13" ht="19.5" customHeight="1" x14ac:dyDescent="0.25">
      <c r="A38" s="31">
        <v>35</v>
      </c>
      <c r="B38" s="5" t="s">
        <v>259</v>
      </c>
      <c r="C38" s="5" t="s">
        <v>195</v>
      </c>
      <c r="D38" s="5" t="s">
        <v>243</v>
      </c>
      <c r="E38" s="5" t="s">
        <v>3</v>
      </c>
      <c r="F38" s="33">
        <v>4</v>
      </c>
      <c r="G38" s="31">
        <f t="shared" si="5"/>
        <v>3</v>
      </c>
      <c r="H38" s="31">
        <f t="shared" si="6"/>
        <v>4</v>
      </c>
      <c r="I38" s="31">
        <f t="shared" si="7"/>
        <v>3</v>
      </c>
      <c r="J38" s="31">
        <f t="shared" si="8"/>
        <v>2</v>
      </c>
      <c r="K38" s="30">
        <f>G38*'Caso 1 (Parámetros)'!$D$5 + H38*'Caso 1 (Parámetros)'!$D$6 + I38*'Caso 1 (Parámetros)'!$D$7 + J38*'Caso 1 (Parámetros)'!$D$8</f>
        <v>3.1500000000000004</v>
      </c>
      <c r="L38" s="29" t="str" cm="1">
        <f t="array" ref="L38">_xlfn.SWITCH(TRUE, K38&lt;1.5,"BAJO", K38&lt;2.5,"MEDIO", K38&lt;3.25,"ALTO","CRÍTICO")</f>
        <v>ALTO</v>
      </c>
      <c r="M38" s="28" t="str">
        <f t="shared" si="9"/>
        <v>DDC Reforzada</v>
      </c>
    </row>
    <row r="39" spans="1:13" ht="19.5" customHeight="1" x14ac:dyDescent="0.25">
      <c r="A39" s="9">
        <v>36</v>
      </c>
      <c r="B39" s="4" t="s">
        <v>258</v>
      </c>
      <c r="C39" s="4" t="s">
        <v>200</v>
      </c>
      <c r="D39" s="4" t="s">
        <v>203</v>
      </c>
      <c r="E39" s="4" t="s">
        <v>0</v>
      </c>
      <c r="F39" s="32">
        <v>7</v>
      </c>
      <c r="G39" s="31">
        <f t="shared" si="5"/>
        <v>2</v>
      </c>
      <c r="H39" s="31">
        <f t="shared" si="6"/>
        <v>1</v>
      </c>
      <c r="I39" s="31">
        <f t="shared" si="7"/>
        <v>1</v>
      </c>
      <c r="J39" s="31">
        <f t="shared" si="8"/>
        <v>1</v>
      </c>
      <c r="K39" s="30">
        <f>G39*'Caso 1 (Parámetros)'!$D$5 + H39*'Caso 1 (Parámetros)'!$D$6 + I39*'Caso 1 (Parámetros)'!$D$7 + J39*'Caso 1 (Parámetros)'!$D$8</f>
        <v>1.4000000000000001</v>
      </c>
      <c r="L39" s="29" t="str" cm="1">
        <f t="array" ref="L39">_xlfn.SWITCH(TRUE, K39&lt;1.5,"BAJO", K39&lt;2.5,"MEDIO", K39&lt;3.25,"ALTO","CRÍTICO")</f>
        <v>BAJO</v>
      </c>
      <c r="M39" s="28" t="str">
        <f t="shared" si="9"/>
        <v>DDC Simplificada</v>
      </c>
    </row>
    <row r="40" spans="1:13" ht="19.5" customHeight="1" x14ac:dyDescent="0.25">
      <c r="A40" s="31">
        <v>37</v>
      </c>
      <c r="B40" s="5" t="s">
        <v>11</v>
      </c>
      <c r="C40" s="5" t="s">
        <v>190</v>
      </c>
      <c r="D40" s="5" t="s">
        <v>198</v>
      </c>
      <c r="E40" s="5" t="s">
        <v>2</v>
      </c>
      <c r="F40" s="33">
        <v>1.6</v>
      </c>
      <c r="G40" s="31">
        <f t="shared" si="5"/>
        <v>4</v>
      </c>
      <c r="H40" s="31">
        <f t="shared" si="6"/>
        <v>2</v>
      </c>
      <c r="I40" s="31">
        <f t="shared" si="7"/>
        <v>3</v>
      </c>
      <c r="J40" s="31">
        <f t="shared" si="8"/>
        <v>2</v>
      </c>
      <c r="K40" s="30">
        <f>G40*'Caso 1 (Parámetros)'!$D$5 + H40*'Caso 1 (Parámetros)'!$D$6 + I40*'Caso 1 (Parámetros)'!$D$7 + J40*'Caso 1 (Parámetros)'!$D$8</f>
        <v>3.0500000000000003</v>
      </c>
      <c r="L40" s="29" t="str" cm="1">
        <f t="array" ref="L40">_xlfn.SWITCH(TRUE, K40&lt;1.5,"BAJO", K40&lt;2.5,"MEDIO", K40&lt;3.25,"ALTO","CRÍTICO")</f>
        <v>ALTO</v>
      </c>
      <c r="M40" s="28" t="str">
        <f t="shared" si="9"/>
        <v>DDC Reforzada</v>
      </c>
    </row>
    <row r="41" spans="1:13" ht="19.5" customHeight="1" x14ac:dyDescent="0.25">
      <c r="A41" s="9">
        <v>38</v>
      </c>
      <c r="B41" s="4" t="s">
        <v>257</v>
      </c>
      <c r="C41" s="4" t="s">
        <v>200</v>
      </c>
      <c r="D41" s="4" t="s">
        <v>203</v>
      </c>
      <c r="E41" s="4" t="s">
        <v>8</v>
      </c>
      <c r="F41" s="32">
        <v>15</v>
      </c>
      <c r="G41" s="31">
        <f t="shared" si="5"/>
        <v>2</v>
      </c>
      <c r="H41" s="31">
        <f t="shared" si="6"/>
        <v>1</v>
      </c>
      <c r="I41" s="31">
        <f t="shared" si="7"/>
        <v>1</v>
      </c>
      <c r="J41" s="31">
        <f t="shared" si="8"/>
        <v>1</v>
      </c>
      <c r="K41" s="30">
        <f>G41*'Caso 1 (Parámetros)'!$D$5 + H41*'Caso 1 (Parámetros)'!$D$6 + I41*'Caso 1 (Parámetros)'!$D$7 + J41*'Caso 1 (Parámetros)'!$D$8</f>
        <v>1.4000000000000001</v>
      </c>
      <c r="L41" s="29" t="str" cm="1">
        <f t="array" ref="L41">_xlfn.SWITCH(TRUE, K41&lt;1.5,"BAJO", K41&lt;2.5,"MEDIO", K41&lt;3.25,"ALTO","CRÍTICO")</f>
        <v>BAJO</v>
      </c>
      <c r="M41" s="28" t="str">
        <f t="shared" si="9"/>
        <v>DDC Simplificada</v>
      </c>
    </row>
    <row r="42" spans="1:13" ht="19.5" customHeight="1" x14ac:dyDescent="0.25">
      <c r="A42" s="31">
        <v>39</v>
      </c>
      <c r="B42" s="5" t="s">
        <v>256</v>
      </c>
      <c r="C42" s="5" t="s">
        <v>205</v>
      </c>
      <c r="D42" s="5" t="s">
        <v>243</v>
      </c>
      <c r="E42" s="5" t="s">
        <v>9</v>
      </c>
      <c r="F42" s="33">
        <v>0.8</v>
      </c>
      <c r="G42" s="31">
        <f t="shared" si="5"/>
        <v>1</v>
      </c>
      <c r="H42" s="31">
        <f t="shared" si="6"/>
        <v>4</v>
      </c>
      <c r="I42" s="31">
        <f t="shared" si="7"/>
        <v>3</v>
      </c>
      <c r="J42" s="31">
        <f t="shared" si="8"/>
        <v>3</v>
      </c>
      <c r="K42" s="30">
        <f>G42*'Caso 1 (Parámetros)'!$D$5 + H42*'Caso 1 (Parámetros)'!$D$6 + I42*'Caso 1 (Parámetros)'!$D$7 + J42*'Caso 1 (Parámetros)'!$D$8</f>
        <v>2.4500000000000002</v>
      </c>
      <c r="L42" s="29" t="str" cm="1">
        <f t="array" ref="L42">_xlfn.SWITCH(TRUE, K42&lt;1.5,"BAJO", K42&lt;2.5,"MEDIO", K42&lt;3.25,"ALTO","CRÍTICO")</f>
        <v>MEDIO</v>
      </c>
      <c r="M42" s="28" t="str">
        <f t="shared" si="9"/>
        <v>DDC Estándar</v>
      </c>
    </row>
    <row r="43" spans="1:13" ht="19.5" customHeight="1" x14ac:dyDescent="0.25">
      <c r="A43" s="9">
        <v>40</v>
      </c>
      <c r="B43" s="4" t="s">
        <v>255</v>
      </c>
      <c r="C43" s="4" t="s">
        <v>200</v>
      </c>
      <c r="D43" s="4" t="s">
        <v>243</v>
      </c>
      <c r="E43" s="4" t="s">
        <v>0</v>
      </c>
      <c r="F43" s="32">
        <v>3</v>
      </c>
      <c r="G43" s="31">
        <f t="shared" si="5"/>
        <v>2</v>
      </c>
      <c r="H43" s="31">
        <f t="shared" si="6"/>
        <v>4</v>
      </c>
      <c r="I43" s="31">
        <f t="shared" si="7"/>
        <v>1</v>
      </c>
      <c r="J43" s="31">
        <f t="shared" si="8"/>
        <v>2</v>
      </c>
      <c r="K43" s="30">
        <f>G43*'Caso 1 (Parámetros)'!$D$5 + H43*'Caso 1 (Parámetros)'!$D$6 + I43*'Caso 1 (Parámetros)'!$D$7 + J43*'Caso 1 (Parámetros)'!$D$8</f>
        <v>2.25</v>
      </c>
      <c r="L43" s="29" t="str" cm="1">
        <f t="array" ref="L43">_xlfn.SWITCH(TRUE, K43&lt;1.5,"BAJO", K43&lt;2.5,"MEDIO", K43&lt;3.25,"ALTO","CRÍTICO")</f>
        <v>MEDIO</v>
      </c>
      <c r="M43" s="28" t="str">
        <f t="shared" si="9"/>
        <v>DDC Estándar</v>
      </c>
    </row>
    <row r="44" spans="1:13" ht="19.5" customHeight="1" x14ac:dyDescent="0.25">
      <c r="A44" s="31">
        <v>41</v>
      </c>
      <c r="B44" s="5" t="s">
        <v>254</v>
      </c>
      <c r="C44" s="5" t="s">
        <v>190</v>
      </c>
      <c r="D44" s="5" t="s">
        <v>243</v>
      </c>
      <c r="E44" s="5" t="s">
        <v>1</v>
      </c>
      <c r="F44" s="33">
        <v>0.4</v>
      </c>
      <c r="G44" s="31">
        <f t="shared" si="5"/>
        <v>4</v>
      </c>
      <c r="H44" s="31">
        <f t="shared" si="6"/>
        <v>4</v>
      </c>
      <c r="I44" s="31">
        <f t="shared" si="7"/>
        <v>3</v>
      </c>
      <c r="J44" s="31">
        <f t="shared" si="8"/>
        <v>3</v>
      </c>
      <c r="K44" s="30">
        <f>G44*'Caso 1 (Parámetros)'!$D$5 + H44*'Caso 1 (Parámetros)'!$D$6 + I44*'Caso 1 (Parámetros)'!$D$7 + J44*'Caso 1 (Parámetros)'!$D$8</f>
        <v>3.6500000000000004</v>
      </c>
      <c r="L44" s="29" t="str" cm="1">
        <f t="array" ref="L44">_xlfn.SWITCH(TRUE, K44&lt;1.5,"BAJO", K44&lt;2.5,"MEDIO", K44&lt;3.25,"ALTO","CRÍTICO")</f>
        <v>CRÍTICO</v>
      </c>
      <c r="M44" s="28" t="str">
        <f t="shared" si="9"/>
        <v>DDC Reforzada + Alta Gerencia</v>
      </c>
    </row>
    <row r="45" spans="1:13" ht="19.5" customHeight="1" x14ac:dyDescent="0.25">
      <c r="A45" s="9">
        <v>42</v>
      </c>
      <c r="B45" s="4" t="s">
        <v>253</v>
      </c>
      <c r="C45" s="4" t="s">
        <v>200</v>
      </c>
      <c r="D45" s="4" t="s">
        <v>243</v>
      </c>
      <c r="E45" s="4" t="s">
        <v>7</v>
      </c>
      <c r="F45" s="32">
        <v>0.3</v>
      </c>
      <c r="G45" s="31">
        <f t="shared" si="5"/>
        <v>2</v>
      </c>
      <c r="H45" s="31">
        <f t="shared" si="6"/>
        <v>4</v>
      </c>
      <c r="I45" s="31">
        <f t="shared" si="7"/>
        <v>3</v>
      </c>
      <c r="J45" s="31">
        <f t="shared" si="8"/>
        <v>3</v>
      </c>
      <c r="K45" s="30">
        <f>G45*'Caso 1 (Parámetros)'!$D$5 + H45*'Caso 1 (Parámetros)'!$D$6 + I45*'Caso 1 (Parámetros)'!$D$7 + J45*'Caso 1 (Parámetros)'!$D$8</f>
        <v>2.8499999999999996</v>
      </c>
      <c r="L45" s="29" t="str" cm="1">
        <f t="array" ref="L45">_xlfn.SWITCH(TRUE, K45&lt;1.5,"BAJO", K45&lt;2.5,"MEDIO", K45&lt;3.25,"ALTO","CRÍTICO")</f>
        <v>ALTO</v>
      </c>
      <c r="M45" s="28" t="str">
        <f t="shared" si="9"/>
        <v>DDC Reforzada</v>
      </c>
    </row>
    <row r="46" spans="1:13" ht="19.5" customHeight="1" x14ac:dyDescent="0.25">
      <c r="A46" s="31">
        <v>43</v>
      </c>
      <c r="B46" s="5" t="s">
        <v>252</v>
      </c>
      <c r="C46" s="5" t="s">
        <v>205</v>
      </c>
      <c r="D46" s="5" t="s">
        <v>203</v>
      </c>
      <c r="E46" s="5" t="s">
        <v>251</v>
      </c>
      <c r="F46" s="33">
        <v>2</v>
      </c>
      <c r="G46" s="31">
        <f t="shared" si="5"/>
        <v>1</v>
      </c>
      <c r="H46" s="31">
        <f t="shared" si="6"/>
        <v>1</v>
      </c>
      <c r="I46" s="31">
        <f t="shared" si="7"/>
        <v>2</v>
      </c>
      <c r="J46" s="31">
        <f t="shared" si="8"/>
        <v>2</v>
      </c>
      <c r="K46" s="30">
        <f>G46*'Caso 1 (Parámetros)'!$D$5 + H46*'Caso 1 (Parámetros)'!$D$6 + I46*'Caso 1 (Parámetros)'!$D$7 + J46*'Caso 1 (Parámetros)'!$D$8</f>
        <v>1.3499999999999999</v>
      </c>
      <c r="L46" s="29" t="str" cm="1">
        <f t="array" ref="L46">_xlfn.SWITCH(TRUE, K46&lt;1.5,"BAJO", K46&lt;2.5,"MEDIO", K46&lt;3.25,"ALTO","CRÍTICO")</f>
        <v>BAJO</v>
      </c>
      <c r="M46" s="28" t="str">
        <f t="shared" si="9"/>
        <v>DDC Simplificada</v>
      </c>
    </row>
    <row r="47" spans="1:13" ht="19.5" customHeight="1" x14ac:dyDescent="0.25">
      <c r="A47" s="9">
        <v>44</v>
      </c>
      <c r="B47" s="4" t="s">
        <v>250</v>
      </c>
      <c r="C47" s="4" t="s">
        <v>195</v>
      </c>
      <c r="D47" s="4" t="s">
        <v>243</v>
      </c>
      <c r="E47" s="4" t="s">
        <v>2</v>
      </c>
      <c r="F47" s="32">
        <v>0.5</v>
      </c>
      <c r="G47" s="31">
        <f t="shared" si="5"/>
        <v>3</v>
      </c>
      <c r="H47" s="31">
        <f t="shared" si="6"/>
        <v>4</v>
      </c>
      <c r="I47" s="31">
        <f t="shared" si="7"/>
        <v>3</v>
      </c>
      <c r="J47" s="31">
        <f t="shared" si="8"/>
        <v>3</v>
      </c>
      <c r="K47" s="30">
        <f>G47*'Caso 1 (Parámetros)'!$D$5 + H47*'Caso 1 (Parámetros)'!$D$6 + I47*'Caso 1 (Parámetros)'!$D$7 + J47*'Caso 1 (Parámetros)'!$D$8</f>
        <v>3.25</v>
      </c>
      <c r="L47" s="29" t="str" cm="1">
        <f t="array" ref="L47">_xlfn.SWITCH(TRUE, K47&lt;1.5,"BAJO", K47&lt;2.5,"MEDIO", K47&lt;3.25,"ALTO","CRÍTICO")</f>
        <v>CRÍTICO</v>
      </c>
      <c r="M47" s="28" t="str">
        <f t="shared" si="9"/>
        <v>DDC Reforzada + Alta Gerencia</v>
      </c>
    </row>
    <row r="48" spans="1:13" ht="19.5" customHeight="1" x14ac:dyDescent="0.25">
      <c r="A48" s="31">
        <v>45</v>
      </c>
      <c r="B48" s="5" t="s">
        <v>249</v>
      </c>
      <c r="C48" s="5" t="s">
        <v>190</v>
      </c>
      <c r="D48" s="5" t="s">
        <v>243</v>
      </c>
      <c r="E48" s="5" t="s">
        <v>3</v>
      </c>
      <c r="F48" s="33">
        <v>0.3</v>
      </c>
      <c r="G48" s="31">
        <f t="shared" si="5"/>
        <v>4</v>
      </c>
      <c r="H48" s="31">
        <f t="shared" si="6"/>
        <v>4</v>
      </c>
      <c r="I48" s="31">
        <f t="shared" si="7"/>
        <v>3</v>
      </c>
      <c r="J48" s="31">
        <f t="shared" si="8"/>
        <v>3</v>
      </c>
      <c r="K48" s="30">
        <f>G48*'Caso 1 (Parámetros)'!$D$5 + H48*'Caso 1 (Parámetros)'!$D$6 + I48*'Caso 1 (Parámetros)'!$D$7 + J48*'Caso 1 (Parámetros)'!$D$8</f>
        <v>3.6500000000000004</v>
      </c>
      <c r="L48" s="29" t="str" cm="1">
        <f t="array" ref="L48">_xlfn.SWITCH(TRUE, K48&lt;1.5,"BAJO", K48&lt;2.5,"MEDIO", K48&lt;3.25,"ALTO","CRÍTICO")</f>
        <v>CRÍTICO</v>
      </c>
      <c r="M48" s="28" t="str">
        <f t="shared" si="9"/>
        <v>DDC Reforzada + Alta Gerencia</v>
      </c>
    </row>
    <row r="49" spans="1:13" ht="19.5" customHeight="1" x14ac:dyDescent="0.25">
      <c r="A49" s="9">
        <v>46</v>
      </c>
      <c r="B49" s="4" t="s">
        <v>248</v>
      </c>
      <c r="C49" s="4" t="s">
        <v>200</v>
      </c>
      <c r="D49" s="4" t="s">
        <v>203</v>
      </c>
      <c r="E49" s="4" t="s">
        <v>9</v>
      </c>
      <c r="F49" s="32">
        <v>8</v>
      </c>
      <c r="G49" s="31">
        <f t="shared" si="5"/>
        <v>2</v>
      </c>
      <c r="H49" s="31">
        <f t="shared" si="6"/>
        <v>1</v>
      </c>
      <c r="I49" s="31">
        <f t="shared" si="7"/>
        <v>3</v>
      </c>
      <c r="J49" s="31">
        <f t="shared" si="8"/>
        <v>1</v>
      </c>
      <c r="K49" s="30">
        <f>G49*'Caso 1 (Parámetros)'!$D$5 + H49*'Caso 1 (Parámetros)'!$D$6 + I49*'Caso 1 (Parámetros)'!$D$7 + J49*'Caso 1 (Parámetros)'!$D$8</f>
        <v>1.9000000000000001</v>
      </c>
      <c r="L49" s="29" t="str" cm="1">
        <f t="array" ref="L49">_xlfn.SWITCH(TRUE, K49&lt;1.5,"BAJO", K49&lt;2.5,"MEDIO", K49&lt;3.25,"ALTO","CRÍTICO")</f>
        <v>MEDIO</v>
      </c>
      <c r="M49" s="28" t="str">
        <f t="shared" si="9"/>
        <v>DDC Estándar</v>
      </c>
    </row>
    <row r="50" spans="1:13" ht="19.5" customHeight="1" x14ac:dyDescent="0.25">
      <c r="A50" s="31">
        <v>47</v>
      </c>
      <c r="B50" s="5" t="s">
        <v>247</v>
      </c>
      <c r="C50" s="5" t="s">
        <v>195</v>
      </c>
      <c r="D50" s="5" t="s">
        <v>198</v>
      </c>
      <c r="E50" s="5" t="s">
        <v>6</v>
      </c>
      <c r="F50" s="33">
        <v>0.7</v>
      </c>
      <c r="G50" s="31">
        <f t="shared" si="5"/>
        <v>3</v>
      </c>
      <c r="H50" s="31">
        <f t="shared" si="6"/>
        <v>2</v>
      </c>
      <c r="I50" s="31">
        <f t="shared" si="7"/>
        <v>3</v>
      </c>
      <c r="J50" s="31">
        <f t="shared" si="8"/>
        <v>3</v>
      </c>
      <c r="K50" s="30">
        <f>G50*'Caso 1 (Parámetros)'!$D$5 + H50*'Caso 1 (Parámetros)'!$D$6 + I50*'Caso 1 (Parámetros)'!$D$7 + J50*'Caso 1 (Parámetros)'!$D$8</f>
        <v>2.75</v>
      </c>
      <c r="L50" s="29" t="str" cm="1">
        <f t="array" ref="L50">_xlfn.SWITCH(TRUE, K50&lt;1.5,"BAJO", K50&lt;2.5,"MEDIO", K50&lt;3.25,"ALTO","CRÍTICO")</f>
        <v>ALTO</v>
      </c>
      <c r="M50" s="28" t="str">
        <f t="shared" si="9"/>
        <v>DDC Reforzada</v>
      </c>
    </row>
    <row r="51" spans="1:13" ht="19.5" customHeight="1" x14ac:dyDescent="0.25">
      <c r="A51" s="9">
        <v>48</v>
      </c>
      <c r="B51" s="4" t="s">
        <v>246</v>
      </c>
      <c r="C51" s="4" t="s">
        <v>200</v>
      </c>
      <c r="D51" s="4" t="s">
        <v>198</v>
      </c>
      <c r="E51" s="4" t="s">
        <v>5</v>
      </c>
      <c r="F51" s="32">
        <v>1</v>
      </c>
      <c r="G51" s="31">
        <f t="shared" si="5"/>
        <v>2</v>
      </c>
      <c r="H51" s="31">
        <f t="shared" si="6"/>
        <v>2</v>
      </c>
      <c r="I51" s="31">
        <f t="shared" si="7"/>
        <v>2</v>
      </c>
      <c r="J51" s="31">
        <f t="shared" si="8"/>
        <v>2</v>
      </c>
      <c r="K51" s="30">
        <f>G51*'Caso 1 (Parámetros)'!$D$5 + H51*'Caso 1 (Parámetros)'!$D$6 + I51*'Caso 1 (Parámetros)'!$D$7 + J51*'Caso 1 (Parámetros)'!$D$8</f>
        <v>2</v>
      </c>
      <c r="L51" s="29" t="str" cm="1">
        <f t="array" ref="L51">_xlfn.SWITCH(TRUE, K51&lt;1.5,"BAJO", K51&lt;2.5,"MEDIO", K51&lt;3.25,"ALTO","CRÍTICO")</f>
        <v>MEDIO</v>
      </c>
      <c r="M51" s="28" t="str">
        <f t="shared" si="9"/>
        <v>DDC Estándar</v>
      </c>
    </row>
    <row r="52" spans="1:13" ht="19.5" customHeight="1" x14ac:dyDescent="0.25">
      <c r="A52" s="31">
        <v>49</v>
      </c>
      <c r="B52" s="5" t="s">
        <v>245</v>
      </c>
      <c r="C52" s="5" t="s">
        <v>190</v>
      </c>
      <c r="D52" s="5" t="s">
        <v>243</v>
      </c>
      <c r="E52" s="5" t="s">
        <v>9</v>
      </c>
      <c r="F52" s="33">
        <v>0.2</v>
      </c>
      <c r="G52" s="31">
        <f t="shared" si="5"/>
        <v>4</v>
      </c>
      <c r="H52" s="31">
        <f t="shared" si="6"/>
        <v>4</v>
      </c>
      <c r="I52" s="31">
        <f t="shared" si="7"/>
        <v>3</v>
      </c>
      <c r="J52" s="31">
        <f t="shared" si="8"/>
        <v>3</v>
      </c>
      <c r="K52" s="30">
        <f>G52*'Caso 1 (Parámetros)'!$D$5 + H52*'Caso 1 (Parámetros)'!$D$6 + I52*'Caso 1 (Parámetros)'!$D$7 + J52*'Caso 1 (Parámetros)'!$D$8</f>
        <v>3.6500000000000004</v>
      </c>
      <c r="L52" s="29" t="str" cm="1">
        <f t="array" ref="L52">_xlfn.SWITCH(TRUE, K52&lt;1.5,"BAJO", K52&lt;2.5,"MEDIO", K52&lt;3.25,"ALTO","CRÍTICO")</f>
        <v>CRÍTICO</v>
      </c>
      <c r="M52" s="28" t="str">
        <f t="shared" si="9"/>
        <v>DDC Reforzada + Alta Gerencia</v>
      </c>
    </row>
    <row r="53" spans="1:13" ht="19.5" customHeight="1" x14ac:dyDescent="0.25">
      <c r="A53" s="9">
        <v>50</v>
      </c>
      <c r="B53" s="4" t="s">
        <v>244</v>
      </c>
      <c r="C53" s="4" t="s">
        <v>195</v>
      </c>
      <c r="D53" s="4" t="s">
        <v>243</v>
      </c>
      <c r="E53" s="4" t="s">
        <v>1</v>
      </c>
      <c r="F53" s="32">
        <v>0.4</v>
      </c>
      <c r="G53" s="31">
        <f t="shared" si="5"/>
        <v>3</v>
      </c>
      <c r="H53" s="31">
        <f t="shared" si="6"/>
        <v>4</v>
      </c>
      <c r="I53" s="31">
        <f t="shared" si="7"/>
        <v>3</v>
      </c>
      <c r="J53" s="31">
        <f t="shared" si="8"/>
        <v>3</v>
      </c>
      <c r="K53" s="30">
        <f>G53*'Caso 1 (Parámetros)'!$D$5 + H53*'Caso 1 (Parámetros)'!$D$6 + I53*'Caso 1 (Parámetros)'!$D$7 + J53*'Caso 1 (Parámetros)'!$D$8</f>
        <v>3.25</v>
      </c>
      <c r="L53" s="29" t="str" cm="1">
        <f t="array" ref="L53">_xlfn.SWITCH(TRUE, K53&lt;1.5,"BAJO", K53&lt;2.5,"MEDIO", K53&lt;3.25,"ALTO","CRÍTICO")</f>
        <v>CRÍTICO</v>
      </c>
      <c r="M53" s="28" t="str">
        <f t="shared" si="9"/>
        <v>DDC Reforzada + Alta Gerencia</v>
      </c>
    </row>
    <row r="54" spans="1:13" ht="19.5" customHeight="1" x14ac:dyDescent="0.25">
      <c r="A54" s="146" t="str">
        <f>"TOTAL CLIENTES: "&amp;COUNTA($A$4:$A$53)</f>
        <v>TOTAL CLIENTES: 50</v>
      </c>
      <c r="B54" s="146"/>
      <c r="C54" s="146"/>
      <c r="D54" s="146"/>
      <c r="E54" s="146"/>
      <c r="F54" s="13"/>
      <c r="G54" s="13"/>
      <c r="H54" s="13"/>
      <c r="I54" s="13"/>
      <c r="J54" s="13"/>
      <c r="K54" s="13"/>
      <c r="L54" s="13"/>
      <c r="M54" s="13"/>
    </row>
  </sheetData>
  <mergeCells count="3">
    <mergeCell ref="A1:M1"/>
    <mergeCell ref="A2:M2"/>
    <mergeCell ref="A54:E54"/>
  </mergeCells>
  <conditionalFormatting sqref="K4:M53">
    <cfRule type="expression" dxfId="69" priority="1">
      <formula>$K4&gt;=3.25</formula>
    </cfRule>
    <cfRule type="expression" dxfId="68" priority="2">
      <formula>AND($K4&gt;=2.5, $K4&lt;3.25)</formula>
    </cfRule>
    <cfRule type="expression" dxfId="67" priority="3">
      <formula>AND($K4&gt;=1.5, $K4&lt;2.5)</formula>
    </cfRule>
    <cfRule type="expression" dxfId="66" priority="4">
      <formula>$K4&lt;1.5</formula>
    </cfRule>
  </conditionalFormatting>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9FE61-B184-4CEB-A419-CCE0C3318AE1}">
  <sheetPr codeName="Hoja5"/>
  <dimension ref="A1:G15"/>
  <sheetViews>
    <sheetView showGridLines="0" tabSelected="1" zoomScaleNormal="100" workbookViewId="0">
      <selection activeCell="I6" sqref="I6"/>
    </sheetView>
  </sheetViews>
  <sheetFormatPr baseColWidth="10" defaultColWidth="8.7109375" defaultRowHeight="15" x14ac:dyDescent="0.25"/>
  <cols>
    <col min="1" max="1" width="9.28515625" style="3" customWidth="1"/>
    <col min="2" max="2" width="24.7109375" style="3" customWidth="1"/>
    <col min="3" max="4" width="15" style="3" customWidth="1"/>
    <col min="5" max="5" width="29.140625" style="3" customWidth="1"/>
    <col min="6" max="6" width="32.7109375" style="3" customWidth="1"/>
    <col min="7" max="7" width="9.28515625" style="3" customWidth="1"/>
    <col min="8" max="16384" width="8.7109375" style="3"/>
  </cols>
  <sheetData>
    <row r="1" spans="1:7" ht="30" customHeight="1" x14ac:dyDescent="0.25">
      <c r="A1" s="130" t="s">
        <v>1362</v>
      </c>
      <c r="B1" s="130"/>
      <c r="C1" s="130"/>
      <c r="D1" s="130"/>
      <c r="E1" s="130"/>
      <c r="F1" s="130"/>
      <c r="G1" s="130"/>
    </row>
    <row r="2" spans="1:7" ht="15" customHeight="1" x14ac:dyDescent="0.25">
      <c r="A2" s="136" t="s">
        <v>868</v>
      </c>
      <c r="B2" s="136"/>
      <c r="C2" s="136"/>
      <c r="D2" s="136"/>
      <c r="E2" s="136"/>
      <c r="F2" s="136"/>
      <c r="G2" s="136"/>
    </row>
    <row r="3" spans="1:7" x14ac:dyDescent="0.25">
      <c r="A3" s="53"/>
      <c r="B3" s="53"/>
      <c r="C3" s="53"/>
      <c r="D3" s="53"/>
      <c r="E3" s="53"/>
      <c r="F3" s="53"/>
      <c r="G3" s="53"/>
    </row>
    <row r="4" spans="1:7" ht="19.5" customHeight="1" x14ac:dyDescent="0.25">
      <c r="B4" s="6" t="s">
        <v>92</v>
      </c>
      <c r="C4" s="6" t="s">
        <v>320</v>
      </c>
      <c r="D4" s="6" t="s">
        <v>319</v>
      </c>
      <c r="E4" s="6" t="s">
        <v>238</v>
      </c>
      <c r="F4" s="6" t="s">
        <v>318</v>
      </c>
    </row>
    <row r="5" spans="1:7" ht="49.5" customHeight="1" x14ac:dyDescent="0.25">
      <c r="B5" s="52" t="s">
        <v>233</v>
      </c>
      <c r="C5" s="51">
        <f>COUNTIF(NivelRiesgo,B5)</f>
        <v>10</v>
      </c>
      <c r="D5" s="50">
        <f>C5/C9</f>
        <v>0.2</v>
      </c>
      <c r="E5" s="25" t="s">
        <v>232</v>
      </c>
      <c r="F5" s="25" t="s">
        <v>317</v>
      </c>
    </row>
    <row r="6" spans="1:7" ht="49.5" customHeight="1" x14ac:dyDescent="0.25">
      <c r="B6" s="49" t="s">
        <v>229</v>
      </c>
      <c r="C6" s="48">
        <f>COUNTIF(NivelRiesgo,B6)</f>
        <v>18</v>
      </c>
      <c r="D6" s="47">
        <f>C6/C9</f>
        <v>0.36</v>
      </c>
      <c r="E6" s="22" t="s">
        <v>228</v>
      </c>
      <c r="F6" s="22" t="s">
        <v>316</v>
      </c>
    </row>
    <row r="7" spans="1:7" ht="49.5" customHeight="1" x14ac:dyDescent="0.25">
      <c r="B7" s="46" t="s">
        <v>223</v>
      </c>
      <c r="C7" s="45">
        <f>COUNTIF(NivelRiesgo,B7)</f>
        <v>15</v>
      </c>
      <c r="D7" s="44">
        <f>C7/C9</f>
        <v>0.3</v>
      </c>
      <c r="E7" s="19" t="s">
        <v>222</v>
      </c>
      <c r="F7" s="19" t="s">
        <v>315</v>
      </c>
    </row>
    <row r="8" spans="1:7" ht="49.5" customHeight="1" x14ac:dyDescent="0.25">
      <c r="B8" s="43" t="s">
        <v>217</v>
      </c>
      <c r="C8" s="42">
        <f>COUNTIF(NivelRiesgo,B8)</f>
        <v>7</v>
      </c>
      <c r="D8" s="41">
        <f>C8/C9</f>
        <v>0.14000000000000001</v>
      </c>
      <c r="E8" s="16" t="s">
        <v>314</v>
      </c>
      <c r="F8" s="16" t="s">
        <v>313</v>
      </c>
    </row>
    <row r="9" spans="1:7" ht="21.75" customHeight="1" x14ac:dyDescent="0.25">
      <c r="B9" s="39" t="s">
        <v>187</v>
      </c>
      <c r="C9" s="39">
        <f>SUM(C5:C8)</f>
        <v>50</v>
      </c>
      <c r="D9" s="40">
        <f>SUM(D5:D8)</f>
        <v>1</v>
      </c>
      <c r="E9" s="39"/>
      <c r="F9" s="39"/>
    </row>
    <row r="11" spans="1:7" ht="19.5" customHeight="1" x14ac:dyDescent="0.25">
      <c r="B11" s="132" t="s">
        <v>312</v>
      </c>
      <c r="C11" s="132"/>
      <c r="D11" s="132"/>
      <c r="E11" s="132"/>
      <c r="F11" s="132"/>
    </row>
    <row r="12" spans="1:7" ht="36" customHeight="1" x14ac:dyDescent="0.25">
      <c r="B12" s="38" t="s">
        <v>311</v>
      </c>
      <c r="C12" s="133" t="s">
        <v>310</v>
      </c>
      <c r="D12" s="133"/>
      <c r="E12" s="133"/>
      <c r="F12" s="133"/>
    </row>
    <row r="13" spans="1:7" ht="36" customHeight="1" x14ac:dyDescent="0.25">
      <c r="B13" s="37" t="s">
        <v>309</v>
      </c>
      <c r="C13" s="134" t="s">
        <v>308</v>
      </c>
      <c r="D13" s="134"/>
      <c r="E13" s="134"/>
      <c r="F13" s="134"/>
    </row>
    <row r="14" spans="1:7" ht="36" customHeight="1" x14ac:dyDescent="0.25">
      <c r="B14" s="36" t="s">
        <v>307</v>
      </c>
      <c r="C14" s="135" t="s">
        <v>306</v>
      </c>
      <c r="D14" s="135"/>
      <c r="E14" s="135"/>
      <c r="F14" s="135"/>
    </row>
    <row r="15" spans="1:7" ht="36" customHeight="1" x14ac:dyDescent="0.25">
      <c r="B15" s="35" t="s">
        <v>305</v>
      </c>
      <c r="C15" s="131" t="s">
        <v>304</v>
      </c>
      <c r="D15" s="131"/>
      <c r="E15" s="131"/>
      <c r="F15" s="131"/>
    </row>
  </sheetData>
  <mergeCells count="7">
    <mergeCell ref="A1:G1"/>
    <mergeCell ref="C15:F15"/>
    <mergeCell ref="B11:F11"/>
    <mergeCell ref="C12:F12"/>
    <mergeCell ref="C13:F13"/>
    <mergeCell ref="C14:F14"/>
    <mergeCell ref="A2:G2"/>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52E58-1939-4A9C-B8A9-2A909F5A78D5}">
  <sheetPr codeName="Hoja6"/>
  <dimension ref="A1:C21"/>
  <sheetViews>
    <sheetView showGridLines="0" topLeftCell="A17" workbookViewId="0">
      <selection activeCell="A3" sqref="A3:XFD3"/>
    </sheetView>
  </sheetViews>
  <sheetFormatPr baseColWidth="10" defaultColWidth="9.140625" defaultRowHeight="15" x14ac:dyDescent="0.25"/>
  <cols>
    <col min="1" max="1" width="28" customWidth="1"/>
    <col min="2" max="2" width="76.28515625" customWidth="1"/>
    <col min="3" max="3" width="22" customWidth="1"/>
  </cols>
  <sheetData>
    <row r="1" spans="1:3" ht="27.95" customHeight="1" x14ac:dyDescent="0.25">
      <c r="A1" s="147" t="s">
        <v>321</v>
      </c>
      <c r="B1" s="148"/>
      <c r="C1" s="148"/>
    </row>
    <row r="2" spans="1:3" ht="20.100000000000001" customHeight="1" x14ac:dyDescent="0.25">
      <c r="A2" s="149" t="s">
        <v>322</v>
      </c>
      <c r="B2" s="148"/>
      <c r="C2" s="148"/>
    </row>
    <row r="3" spans="1:3" ht="18" customHeight="1" x14ac:dyDescent="0.25">
      <c r="A3" s="54" t="s">
        <v>168</v>
      </c>
      <c r="B3" s="54" t="s">
        <v>323</v>
      </c>
      <c r="C3" s="54" t="s">
        <v>166</v>
      </c>
    </row>
    <row r="4" spans="1:3" ht="18" customHeight="1" x14ac:dyDescent="0.25">
      <c r="A4" s="150" t="s">
        <v>165</v>
      </c>
      <c r="B4" s="148"/>
      <c r="C4" s="148"/>
    </row>
    <row r="5" spans="1:3" ht="39.950000000000003" customHeight="1" x14ac:dyDescent="0.25">
      <c r="A5" s="55" t="s">
        <v>164</v>
      </c>
      <c r="B5" s="55" t="s">
        <v>324</v>
      </c>
      <c r="C5" s="55" t="s">
        <v>162</v>
      </c>
    </row>
    <row r="6" spans="1:3" ht="39.950000000000003" customHeight="1" x14ac:dyDescent="0.25">
      <c r="A6" s="56" t="s">
        <v>161</v>
      </c>
      <c r="B6" s="56" t="s">
        <v>325</v>
      </c>
      <c r="C6" s="56" t="s">
        <v>159</v>
      </c>
    </row>
    <row r="7" spans="1:3" ht="39.950000000000003" customHeight="1" x14ac:dyDescent="0.25">
      <c r="A7" s="55" t="s">
        <v>158</v>
      </c>
      <c r="B7" s="55" t="s">
        <v>326</v>
      </c>
      <c r="C7" s="55" t="s">
        <v>156</v>
      </c>
    </row>
    <row r="8" spans="1:3" ht="39.950000000000003" customHeight="1" x14ac:dyDescent="0.25">
      <c r="A8" s="56" t="s">
        <v>327</v>
      </c>
      <c r="B8" s="56" t="s">
        <v>328</v>
      </c>
      <c r="C8" s="56" t="s">
        <v>329</v>
      </c>
    </row>
    <row r="9" spans="1:3" ht="18" customHeight="1" x14ac:dyDescent="0.25">
      <c r="A9" s="150" t="s">
        <v>330</v>
      </c>
      <c r="B9" s="148"/>
      <c r="C9" s="148"/>
    </row>
    <row r="10" spans="1:3" ht="39.950000000000003" customHeight="1" x14ac:dyDescent="0.25">
      <c r="A10" s="55" t="s">
        <v>151</v>
      </c>
      <c r="B10" s="55" t="s">
        <v>331</v>
      </c>
      <c r="C10" s="55" t="s">
        <v>141</v>
      </c>
    </row>
    <row r="11" spans="1:3" ht="39.950000000000003" customHeight="1" x14ac:dyDescent="0.25">
      <c r="A11" s="56" t="s">
        <v>149</v>
      </c>
      <c r="B11" s="56" t="s">
        <v>332</v>
      </c>
      <c r="C11" s="56" t="s">
        <v>141</v>
      </c>
    </row>
    <row r="12" spans="1:3" ht="39.950000000000003" customHeight="1" x14ac:dyDescent="0.25">
      <c r="A12" s="55" t="s">
        <v>333</v>
      </c>
      <c r="B12" s="55" t="s">
        <v>334</v>
      </c>
      <c r="C12" s="55" t="s">
        <v>141</v>
      </c>
    </row>
    <row r="13" spans="1:3" ht="39.950000000000003" customHeight="1" x14ac:dyDescent="0.25">
      <c r="A13" s="56" t="s">
        <v>335</v>
      </c>
      <c r="B13" s="56" t="s">
        <v>336</v>
      </c>
      <c r="C13" s="56" t="s">
        <v>337</v>
      </c>
    </row>
    <row r="14" spans="1:3" ht="39.950000000000003" customHeight="1" x14ac:dyDescent="0.25">
      <c r="A14" s="55" t="s">
        <v>338</v>
      </c>
      <c r="B14" s="55" t="s">
        <v>339</v>
      </c>
      <c r="C14" s="55" t="s">
        <v>340</v>
      </c>
    </row>
    <row r="15" spans="1:3" ht="18" customHeight="1" x14ac:dyDescent="0.25">
      <c r="A15" s="150" t="s">
        <v>341</v>
      </c>
      <c r="B15" s="148"/>
      <c r="C15" s="148"/>
    </row>
    <row r="16" spans="1:3" ht="39.950000000000003" customHeight="1" x14ac:dyDescent="0.25">
      <c r="A16" s="55" t="s">
        <v>124</v>
      </c>
      <c r="B16" s="55" t="s">
        <v>342</v>
      </c>
      <c r="C16" s="55" t="s">
        <v>343</v>
      </c>
    </row>
    <row r="17" spans="1:3" ht="39.950000000000003" customHeight="1" x14ac:dyDescent="0.25">
      <c r="A17" s="56" t="s">
        <v>344</v>
      </c>
      <c r="B17" s="56" t="s">
        <v>345</v>
      </c>
      <c r="C17" s="56" t="s">
        <v>125</v>
      </c>
    </row>
    <row r="18" spans="1:3" ht="39.950000000000003" customHeight="1" x14ac:dyDescent="0.25">
      <c r="A18" s="55" t="s">
        <v>121</v>
      </c>
      <c r="B18" s="55" t="s">
        <v>346</v>
      </c>
      <c r="C18" s="55" t="s">
        <v>347</v>
      </c>
    </row>
    <row r="19" spans="1:3" ht="39.950000000000003" customHeight="1" x14ac:dyDescent="0.25">
      <c r="A19" s="56" t="s">
        <v>348</v>
      </c>
      <c r="B19" s="56" t="s">
        <v>349</v>
      </c>
      <c r="C19" s="56" t="s">
        <v>350</v>
      </c>
    </row>
    <row r="20" spans="1:3" ht="39.950000000000003" customHeight="1" x14ac:dyDescent="0.25">
      <c r="A20" s="55" t="s">
        <v>351</v>
      </c>
      <c r="B20" s="55" t="s">
        <v>352</v>
      </c>
      <c r="C20" s="55" t="s">
        <v>350</v>
      </c>
    </row>
    <row r="21" spans="1:3" ht="39.950000000000003" customHeight="1" x14ac:dyDescent="0.25">
      <c r="A21" s="56" t="s">
        <v>353</v>
      </c>
      <c r="B21" s="56" t="s">
        <v>354</v>
      </c>
      <c r="C21" s="56" t="s">
        <v>125</v>
      </c>
    </row>
  </sheetData>
  <mergeCells count="5">
    <mergeCell ref="A1:C1"/>
    <mergeCell ref="A2:C2"/>
    <mergeCell ref="A4:C4"/>
    <mergeCell ref="A9:C9"/>
    <mergeCell ref="A15:C15"/>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0BEB0-3390-4E01-9692-FC9013391FE4}">
  <sheetPr codeName="Hoja7"/>
  <dimension ref="A1:H30"/>
  <sheetViews>
    <sheetView showGridLines="0" topLeftCell="A23" workbookViewId="0">
      <selection activeCell="C5" sqref="C5:C8"/>
    </sheetView>
  </sheetViews>
  <sheetFormatPr baseColWidth="10" defaultColWidth="9.140625" defaultRowHeight="15" x14ac:dyDescent="0.25"/>
  <cols>
    <col min="1" max="1" width="8.5703125" customWidth="1"/>
    <col min="2" max="2" width="28" customWidth="1"/>
    <col min="3" max="3" width="18" customWidth="1"/>
    <col min="4" max="4" width="28" customWidth="1"/>
    <col min="5" max="5" width="18" customWidth="1"/>
    <col min="6" max="6" width="28" customWidth="1"/>
    <col min="7" max="7" width="18" customWidth="1"/>
    <col min="8" max="8" width="8.5703125" customWidth="1"/>
  </cols>
  <sheetData>
    <row r="1" spans="1:8" ht="27.95" customHeight="1" x14ac:dyDescent="0.25">
      <c r="A1" s="147" t="s">
        <v>355</v>
      </c>
      <c r="B1" s="148"/>
      <c r="C1" s="148"/>
      <c r="D1" s="148"/>
      <c r="E1" s="148"/>
      <c r="F1" s="148"/>
      <c r="G1" s="148"/>
      <c r="H1" s="148"/>
    </row>
    <row r="3" spans="1:8" ht="18" customHeight="1" x14ac:dyDescent="0.25">
      <c r="B3" s="153" t="s">
        <v>356</v>
      </c>
      <c r="C3" s="148"/>
      <c r="D3" s="153" t="s">
        <v>357</v>
      </c>
      <c r="E3" s="148"/>
      <c r="F3" s="153" t="s">
        <v>358</v>
      </c>
      <c r="G3" s="148"/>
    </row>
    <row r="4" spans="1:8" x14ac:dyDescent="0.25">
      <c r="B4" s="54" t="s">
        <v>359</v>
      </c>
      <c r="C4" s="54" t="s">
        <v>360</v>
      </c>
      <c r="D4" s="54" t="s">
        <v>359</v>
      </c>
      <c r="E4" s="54" t="s">
        <v>361</v>
      </c>
      <c r="F4" s="54" t="s">
        <v>359</v>
      </c>
      <c r="G4" s="54" t="s">
        <v>361</v>
      </c>
    </row>
    <row r="5" spans="1:8" ht="33.75" customHeight="1" x14ac:dyDescent="0.25">
      <c r="B5" s="57" t="s">
        <v>362</v>
      </c>
      <c r="C5" s="93">
        <v>50000</v>
      </c>
      <c r="D5" s="57" t="s">
        <v>363</v>
      </c>
      <c r="E5" s="93">
        <v>15000</v>
      </c>
      <c r="F5" s="57" t="s">
        <v>364</v>
      </c>
      <c r="G5" s="93">
        <v>40000</v>
      </c>
    </row>
    <row r="6" spans="1:8" ht="33.75" customHeight="1" x14ac:dyDescent="0.25">
      <c r="B6" s="55" t="s">
        <v>365</v>
      </c>
      <c r="C6" s="77">
        <v>50000</v>
      </c>
      <c r="D6" s="55" t="s">
        <v>366</v>
      </c>
      <c r="E6" s="77">
        <v>49999</v>
      </c>
      <c r="F6" s="55" t="s">
        <v>367</v>
      </c>
      <c r="G6" s="59">
        <v>3</v>
      </c>
    </row>
    <row r="7" spans="1:8" ht="33.75" customHeight="1" x14ac:dyDescent="0.25">
      <c r="B7" s="57" t="s">
        <v>368</v>
      </c>
      <c r="C7" s="93">
        <v>40000</v>
      </c>
      <c r="D7" s="57" t="s">
        <v>369</v>
      </c>
      <c r="E7" s="93">
        <v>5</v>
      </c>
      <c r="F7" s="57" t="s">
        <v>370</v>
      </c>
      <c r="G7" s="58" t="s">
        <v>371</v>
      </c>
    </row>
    <row r="8" spans="1:8" ht="33.75" customHeight="1" x14ac:dyDescent="0.25">
      <c r="B8" s="55" t="s">
        <v>372</v>
      </c>
      <c r="C8" s="59">
        <v>3</v>
      </c>
      <c r="D8" s="55" t="s">
        <v>373</v>
      </c>
      <c r="E8" s="59">
        <v>2</v>
      </c>
      <c r="F8" s="55" t="s">
        <v>374</v>
      </c>
      <c r="G8" s="59" t="s">
        <v>375</v>
      </c>
    </row>
    <row r="9" spans="1:8" ht="60" customHeight="1" x14ac:dyDescent="0.25">
      <c r="B9" s="164" t="s">
        <v>376</v>
      </c>
      <c r="C9" s="148"/>
      <c r="D9" s="164" t="s">
        <v>377</v>
      </c>
      <c r="E9" s="148"/>
      <c r="F9" s="164" t="s">
        <v>378</v>
      </c>
      <c r="G9" s="148"/>
    </row>
    <row r="12" spans="1:8" ht="18" customHeight="1" x14ac:dyDescent="0.25">
      <c r="B12" s="153" t="s">
        <v>379</v>
      </c>
      <c r="C12" s="148"/>
      <c r="D12" s="148"/>
      <c r="E12" s="148"/>
      <c r="F12" s="148"/>
      <c r="G12" s="148"/>
    </row>
    <row r="13" spans="1:8" x14ac:dyDescent="0.25">
      <c r="B13" s="54" t="s">
        <v>380</v>
      </c>
      <c r="C13" s="54" t="s">
        <v>381</v>
      </c>
      <c r="D13" s="54" t="s">
        <v>167</v>
      </c>
      <c r="E13" s="54" t="s">
        <v>382</v>
      </c>
      <c r="F13" s="54" t="s">
        <v>318</v>
      </c>
      <c r="G13" s="54" t="s">
        <v>383</v>
      </c>
    </row>
    <row r="14" spans="1:8" ht="30" customHeight="1" x14ac:dyDescent="0.25">
      <c r="B14" s="60" t="s">
        <v>384</v>
      </c>
      <c r="C14" s="61" t="s">
        <v>385</v>
      </c>
      <c r="D14" s="60" t="s">
        <v>386</v>
      </c>
      <c r="E14" s="60" t="s">
        <v>387</v>
      </c>
      <c r="F14" s="60" t="s">
        <v>388</v>
      </c>
      <c r="G14" s="60" t="s">
        <v>389</v>
      </c>
    </row>
    <row r="15" spans="1:8" ht="30" customHeight="1" x14ac:dyDescent="0.25">
      <c r="B15" s="62" t="s">
        <v>390</v>
      </c>
      <c r="C15" s="63" t="s">
        <v>391</v>
      </c>
      <c r="D15" s="62" t="s">
        <v>392</v>
      </c>
      <c r="E15" s="62" t="s">
        <v>225</v>
      </c>
      <c r="F15" s="62" t="s">
        <v>393</v>
      </c>
      <c r="G15" s="62" t="s">
        <v>394</v>
      </c>
    </row>
    <row r="16" spans="1:8" ht="30" customHeight="1" x14ac:dyDescent="0.25">
      <c r="B16" s="62" t="s">
        <v>395</v>
      </c>
      <c r="C16" s="63" t="s">
        <v>391</v>
      </c>
      <c r="D16" s="62" t="s">
        <v>396</v>
      </c>
      <c r="E16" s="62" t="s">
        <v>397</v>
      </c>
      <c r="F16" s="62" t="s">
        <v>398</v>
      </c>
      <c r="G16" s="62" t="s">
        <v>394</v>
      </c>
    </row>
    <row r="17" spans="2:7" ht="30" customHeight="1" x14ac:dyDescent="0.25">
      <c r="B17" s="62" t="s">
        <v>399</v>
      </c>
      <c r="C17" s="63" t="s">
        <v>391</v>
      </c>
      <c r="D17" s="62" t="s">
        <v>400</v>
      </c>
      <c r="E17" s="62" t="s">
        <v>401</v>
      </c>
      <c r="F17" s="62" t="s">
        <v>402</v>
      </c>
      <c r="G17" s="62" t="s">
        <v>403</v>
      </c>
    </row>
    <row r="18" spans="2:7" ht="30" customHeight="1" x14ac:dyDescent="0.25">
      <c r="B18" s="62" t="s">
        <v>404</v>
      </c>
      <c r="C18" s="63" t="s">
        <v>217</v>
      </c>
      <c r="D18" s="62" t="s">
        <v>405</v>
      </c>
      <c r="E18" s="62" t="s">
        <v>406</v>
      </c>
      <c r="F18" s="62" t="s">
        <v>407</v>
      </c>
      <c r="G18" s="62" t="s">
        <v>408</v>
      </c>
    </row>
    <row r="19" spans="2:7" ht="30" customHeight="1" x14ac:dyDescent="0.25">
      <c r="B19" s="64" t="s">
        <v>67</v>
      </c>
      <c r="C19" s="65" t="s">
        <v>409</v>
      </c>
      <c r="D19" s="64" t="s">
        <v>410</v>
      </c>
      <c r="E19" s="64" t="s">
        <v>411</v>
      </c>
      <c r="F19" s="64" t="s">
        <v>412</v>
      </c>
      <c r="G19" s="64" t="s">
        <v>411</v>
      </c>
    </row>
    <row r="20" spans="2:7" x14ac:dyDescent="0.25">
      <c r="B20" s="66" t="s">
        <v>413</v>
      </c>
      <c r="C20" s="67"/>
      <c r="D20" s="68"/>
      <c r="E20" s="69"/>
      <c r="F20" s="69"/>
      <c r="G20" s="69"/>
    </row>
    <row r="23" spans="2:7" ht="15" customHeight="1" x14ac:dyDescent="0.25">
      <c r="B23" s="154" t="s">
        <v>414</v>
      </c>
      <c r="C23" s="155"/>
      <c r="D23" s="155"/>
      <c r="E23" s="155"/>
      <c r="F23" s="155"/>
      <c r="G23" s="155"/>
    </row>
    <row r="24" spans="2:7" x14ac:dyDescent="0.25">
      <c r="B24" s="54" t="s">
        <v>415</v>
      </c>
      <c r="C24" s="54" t="s">
        <v>381</v>
      </c>
      <c r="D24" s="156" t="s">
        <v>167</v>
      </c>
      <c r="E24" s="157"/>
      <c r="F24" s="54" t="s">
        <v>318</v>
      </c>
      <c r="G24" s="54" t="s">
        <v>383</v>
      </c>
    </row>
    <row r="25" spans="2:7" ht="33" customHeight="1" x14ac:dyDescent="0.25">
      <c r="B25" s="70" t="s">
        <v>416</v>
      </c>
      <c r="C25" s="71" t="s">
        <v>417</v>
      </c>
      <c r="D25" s="158" t="s">
        <v>418</v>
      </c>
      <c r="E25" s="159"/>
      <c r="F25" s="70" t="s">
        <v>419</v>
      </c>
      <c r="G25" s="70" t="s">
        <v>394</v>
      </c>
    </row>
    <row r="26" spans="2:7" ht="33" customHeight="1" x14ac:dyDescent="0.25">
      <c r="B26" s="60" t="s">
        <v>420</v>
      </c>
      <c r="C26" s="61" t="s">
        <v>385</v>
      </c>
      <c r="D26" s="160" t="s">
        <v>421</v>
      </c>
      <c r="E26" s="161"/>
      <c r="F26" s="60" t="s">
        <v>422</v>
      </c>
      <c r="G26" s="60" t="s">
        <v>389</v>
      </c>
    </row>
    <row r="27" spans="2:7" ht="33" customHeight="1" x14ac:dyDescent="0.25">
      <c r="B27" s="62" t="s">
        <v>423</v>
      </c>
      <c r="C27" s="63" t="s">
        <v>391</v>
      </c>
      <c r="D27" s="162" t="s">
        <v>424</v>
      </c>
      <c r="E27" s="163"/>
      <c r="F27" s="62" t="s">
        <v>425</v>
      </c>
      <c r="G27" s="62" t="s">
        <v>426</v>
      </c>
    </row>
    <row r="28" spans="2:7" ht="33" customHeight="1" x14ac:dyDescent="0.25">
      <c r="B28" s="64" t="s">
        <v>427</v>
      </c>
      <c r="C28" s="65" t="s">
        <v>409</v>
      </c>
      <c r="D28" s="151" t="s">
        <v>428</v>
      </c>
      <c r="E28" s="152"/>
      <c r="F28" s="64" t="s">
        <v>429</v>
      </c>
      <c r="G28" s="64" t="s">
        <v>411</v>
      </c>
    </row>
    <row r="29" spans="2:7" ht="15" customHeight="1" x14ac:dyDescent="0.25">
      <c r="B29" s="72" t="s">
        <v>430</v>
      </c>
      <c r="C29" s="67"/>
      <c r="D29" s="68"/>
      <c r="E29" s="69"/>
      <c r="F29" s="69"/>
      <c r="G29" s="69"/>
    </row>
    <row r="30" spans="2:7" x14ac:dyDescent="0.25">
      <c r="B30" s="73"/>
    </row>
  </sheetData>
  <mergeCells count="14">
    <mergeCell ref="A1:H1"/>
    <mergeCell ref="B3:C3"/>
    <mergeCell ref="D3:E3"/>
    <mergeCell ref="F3:G3"/>
    <mergeCell ref="B9:C9"/>
    <mergeCell ref="D9:E9"/>
    <mergeCell ref="F9:G9"/>
    <mergeCell ref="D28:E28"/>
    <mergeCell ref="B12:G12"/>
    <mergeCell ref="B23:G23"/>
    <mergeCell ref="D24:E24"/>
    <mergeCell ref="D25:E25"/>
    <mergeCell ref="D26:E26"/>
    <mergeCell ref="D27:E27"/>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C40B4-2719-4577-92CE-B829A0FE9B7C}">
  <sheetPr codeName="Hoja8"/>
  <dimension ref="A1:G73"/>
  <sheetViews>
    <sheetView showGridLines="0" topLeftCell="A66" workbookViewId="0">
      <selection activeCell="E7" sqref="E7"/>
    </sheetView>
  </sheetViews>
  <sheetFormatPr baseColWidth="10" defaultColWidth="9.140625" defaultRowHeight="15" x14ac:dyDescent="0.25"/>
  <cols>
    <col min="1" max="1" width="6" customWidth="1"/>
    <col min="2" max="2" width="28" customWidth="1"/>
    <col min="3" max="3" width="24" customWidth="1"/>
    <col min="4" max="5" width="18" customWidth="1"/>
    <col min="6" max="6" width="16.7109375" customWidth="1"/>
    <col min="7" max="7" width="16" customWidth="1"/>
  </cols>
  <sheetData>
    <row r="1" spans="1:7" ht="27.95" customHeight="1" x14ac:dyDescent="0.25">
      <c r="A1" s="147" t="s">
        <v>431</v>
      </c>
      <c r="B1" s="148"/>
      <c r="C1" s="148"/>
      <c r="D1" s="148"/>
      <c r="E1" s="148"/>
      <c r="F1" s="148"/>
      <c r="G1" s="148"/>
    </row>
    <row r="2" spans="1:7" ht="15.95" customHeight="1" x14ac:dyDescent="0.25">
      <c r="A2" s="165" t="s">
        <v>432</v>
      </c>
      <c r="B2" s="148"/>
      <c r="C2" s="148"/>
      <c r="D2" s="148"/>
      <c r="E2" s="148"/>
      <c r="F2" s="148"/>
      <c r="G2" s="148"/>
    </row>
    <row r="3" spans="1:7" ht="30" customHeight="1" x14ac:dyDescent="0.25">
      <c r="A3" s="74" t="s">
        <v>303</v>
      </c>
      <c r="B3" s="74" t="s">
        <v>433</v>
      </c>
      <c r="C3" s="74" t="s">
        <v>434</v>
      </c>
      <c r="D3" s="74" t="s">
        <v>435</v>
      </c>
      <c r="E3" s="74" t="s">
        <v>301</v>
      </c>
      <c r="F3" s="74" t="s">
        <v>300</v>
      </c>
      <c r="G3" s="74" t="s">
        <v>436</v>
      </c>
    </row>
    <row r="4" spans="1:7" ht="18" customHeight="1" x14ac:dyDescent="0.25">
      <c r="A4" s="75">
        <v>1</v>
      </c>
      <c r="B4" s="56" t="s">
        <v>12</v>
      </c>
      <c r="C4" s="56" t="s">
        <v>437</v>
      </c>
      <c r="D4" s="76">
        <v>8500</v>
      </c>
      <c r="E4" s="56" t="s">
        <v>1</v>
      </c>
      <c r="F4" s="75">
        <v>5</v>
      </c>
      <c r="G4" s="65" t="s">
        <v>233</v>
      </c>
    </row>
    <row r="5" spans="1:7" ht="18" customHeight="1" x14ac:dyDescent="0.25">
      <c r="A5" s="59">
        <v>2</v>
      </c>
      <c r="B5" s="55" t="s">
        <v>13</v>
      </c>
      <c r="C5" s="55" t="s">
        <v>438</v>
      </c>
      <c r="D5" s="77">
        <v>12000</v>
      </c>
      <c r="E5" s="55" t="s">
        <v>0</v>
      </c>
      <c r="F5" s="59">
        <v>8</v>
      </c>
      <c r="G5" s="78" t="s">
        <v>229</v>
      </c>
    </row>
    <row r="6" spans="1:7" ht="18" customHeight="1" x14ac:dyDescent="0.25">
      <c r="A6" s="75">
        <v>3</v>
      </c>
      <c r="B6" s="56" t="s">
        <v>14</v>
      </c>
      <c r="C6" s="56" t="s">
        <v>439</v>
      </c>
      <c r="D6" s="76">
        <v>7200</v>
      </c>
      <c r="E6" s="56" t="s">
        <v>7</v>
      </c>
      <c r="F6" s="75">
        <v>2</v>
      </c>
      <c r="G6" s="61" t="s">
        <v>223</v>
      </c>
    </row>
    <row r="7" spans="1:7" ht="18" customHeight="1" x14ac:dyDescent="0.25">
      <c r="A7" s="59">
        <v>4</v>
      </c>
      <c r="B7" s="55" t="s">
        <v>15</v>
      </c>
      <c r="C7" s="55" t="s">
        <v>440</v>
      </c>
      <c r="D7" s="77">
        <v>9800</v>
      </c>
      <c r="E7" s="55" t="s">
        <v>8</v>
      </c>
      <c r="F7" s="59">
        <v>12</v>
      </c>
      <c r="G7" s="65" t="s">
        <v>233</v>
      </c>
    </row>
    <row r="8" spans="1:7" ht="18" customHeight="1" x14ac:dyDescent="0.25">
      <c r="A8" s="75">
        <v>5</v>
      </c>
      <c r="B8" s="56" t="s">
        <v>16</v>
      </c>
      <c r="C8" s="56" t="s">
        <v>441</v>
      </c>
      <c r="D8" s="76">
        <v>15000</v>
      </c>
      <c r="E8" s="56" t="s">
        <v>9</v>
      </c>
      <c r="F8" s="75">
        <v>1</v>
      </c>
      <c r="G8" s="61" t="s">
        <v>223</v>
      </c>
    </row>
    <row r="9" spans="1:7" ht="18" customHeight="1" x14ac:dyDescent="0.25">
      <c r="A9" s="59">
        <v>6</v>
      </c>
      <c r="B9" s="55" t="s">
        <v>17</v>
      </c>
      <c r="C9" s="55" t="s">
        <v>442</v>
      </c>
      <c r="D9" s="77">
        <v>11500</v>
      </c>
      <c r="E9" s="55" t="s">
        <v>4</v>
      </c>
      <c r="F9" s="59">
        <v>6</v>
      </c>
      <c r="G9" s="65" t="s">
        <v>233</v>
      </c>
    </row>
    <row r="10" spans="1:7" ht="18" customHeight="1" x14ac:dyDescent="0.25">
      <c r="A10" s="75">
        <v>7</v>
      </c>
      <c r="B10" s="56" t="s">
        <v>18</v>
      </c>
      <c r="C10" s="56" t="s">
        <v>443</v>
      </c>
      <c r="D10" s="76">
        <v>28000</v>
      </c>
      <c r="E10" s="56" t="s">
        <v>0</v>
      </c>
      <c r="F10" s="75">
        <v>4</v>
      </c>
      <c r="G10" s="61" t="s">
        <v>223</v>
      </c>
    </row>
    <row r="11" spans="1:7" ht="18" customHeight="1" x14ac:dyDescent="0.25">
      <c r="A11" s="59">
        <v>8</v>
      </c>
      <c r="B11" s="55" t="s">
        <v>10</v>
      </c>
      <c r="C11" s="55" t="s">
        <v>444</v>
      </c>
      <c r="D11" s="77">
        <v>6000</v>
      </c>
      <c r="E11" s="55" t="s">
        <v>3</v>
      </c>
      <c r="F11" s="59">
        <v>7</v>
      </c>
      <c r="G11" s="78" t="s">
        <v>229</v>
      </c>
    </row>
    <row r="12" spans="1:7" ht="18" customHeight="1" x14ac:dyDescent="0.25">
      <c r="A12" s="75">
        <v>9</v>
      </c>
      <c r="B12" s="56" t="s">
        <v>19</v>
      </c>
      <c r="C12" s="56" t="s">
        <v>445</v>
      </c>
      <c r="D12" s="76">
        <v>22000</v>
      </c>
      <c r="E12" s="56" t="s">
        <v>1</v>
      </c>
      <c r="F12" s="75">
        <v>1.5</v>
      </c>
      <c r="G12" s="61" t="s">
        <v>223</v>
      </c>
    </row>
    <row r="13" spans="1:7" ht="18" customHeight="1" x14ac:dyDescent="0.25">
      <c r="A13" s="59">
        <v>10</v>
      </c>
      <c r="B13" s="55" t="s">
        <v>20</v>
      </c>
      <c r="C13" s="55" t="s">
        <v>446</v>
      </c>
      <c r="D13" s="77">
        <v>8200</v>
      </c>
      <c r="E13" s="55" t="s">
        <v>5</v>
      </c>
      <c r="F13" s="59">
        <v>9</v>
      </c>
      <c r="G13" s="65" t="s">
        <v>233</v>
      </c>
    </row>
    <row r="14" spans="1:7" ht="18" customHeight="1" x14ac:dyDescent="0.25">
      <c r="A14" s="75">
        <v>11</v>
      </c>
      <c r="B14" s="56" t="s">
        <v>21</v>
      </c>
      <c r="C14" s="56" t="s">
        <v>437</v>
      </c>
      <c r="D14" s="76">
        <v>7800</v>
      </c>
      <c r="E14" s="56" t="s">
        <v>2</v>
      </c>
      <c r="F14" s="75">
        <v>3</v>
      </c>
      <c r="G14" s="61" t="s">
        <v>223</v>
      </c>
    </row>
    <row r="15" spans="1:7" ht="18" customHeight="1" x14ac:dyDescent="0.25">
      <c r="A15" s="59">
        <v>12</v>
      </c>
      <c r="B15" s="55" t="s">
        <v>22</v>
      </c>
      <c r="C15" s="55" t="s">
        <v>447</v>
      </c>
      <c r="D15" s="77">
        <v>14500</v>
      </c>
      <c r="E15" s="55" t="s">
        <v>6</v>
      </c>
      <c r="F15" s="59">
        <v>5</v>
      </c>
      <c r="G15" s="78" t="s">
        <v>229</v>
      </c>
    </row>
    <row r="16" spans="1:7" ht="18" customHeight="1" x14ac:dyDescent="0.25">
      <c r="A16" s="75">
        <v>13</v>
      </c>
      <c r="B16" s="56" t="s">
        <v>23</v>
      </c>
      <c r="C16" s="56" t="s">
        <v>448</v>
      </c>
      <c r="D16" s="76">
        <v>9000</v>
      </c>
      <c r="E16" s="56" t="s">
        <v>7</v>
      </c>
      <c r="F16" s="75">
        <v>0.8</v>
      </c>
      <c r="G16" s="61" t="s">
        <v>223</v>
      </c>
    </row>
    <row r="17" spans="1:7" ht="18" customHeight="1" x14ac:dyDescent="0.25">
      <c r="A17" s="59">
        <v>14</v>
      </c>
      <c r="B17" s="55" t="s">
        <v>24</v>
      </c>
      <c r="C17" s="55" t="s">
        <v>449</v>
      </c>
      <c r="D17" s="77">
        <v>13000</v>
      </c>
      <c r="E17" s="55" t="s">
        <v>0</v>
      </c>
      <c r="F17" s="59">
        <v>10</v>
      </c>
      <c r="G17" s="65" t="s">
        <v>233</v>
      </c>
    </row>
    <row r="18" spans="1:7" ht="18" customHeight="1" x14ac:dyDescent="0.25">
      <c r="A18" s="75">
        <v>15</v>
      </c>
      <c r="B18" s="56" t="s">
        <v>25</v>
      </c>
      <c r="C18" s="56" t="s">
        <v>441</v>
      </c>
      <c r="D18" s="76">
        <v>18000</v>
      </c>
      <c r="E18" s="56" t="s">
        <v>1</v>
      </c>
      <c r="F18" s="75">
        <v>2.5</v>
      </c>
      <c r="G18" s="61" t="s">
        <v>223</v>
      </c>
    </row>
    <row r="19" spans="1:7" ht="18" customHeight="1" x14ac:dyDescent="0.25">
      <c r="A19" s="59">
        <v>16</v>
      </c>
      <c r="B19" s="55" t="s">
        <v>26</v>
      </c>
      <c r="C19" s="55" t="s">
        <v>450</v>
      </c>
      <c r="D19" s="77">
        <v>12500</v>
      </c>
      <c r="E19" s="55" t="s">
        <v>8</v>
      </c>
      <c r="F19" s="59">
        <v>4</v>
      </c>
      <c r="G19" s="65" t="s">
        <v>233</v>
      </c>
    </row>
    <row r="20" spans="1:7" ht="18" customHeight="1" x14ac:dyDescent="0.25">
      <c r="A20" s="75">
        <v>17</v>
      </c>
      <c r="B20" s="56" t="s">
        <v>27</v>
      </c>
      <c r="C20" s="56" t="s">
        <v>451</v>
      </c>
      <c r="D20" s="76">
        <v>16000</v>
      </c>
      <c r="E20" s="56" t="s">
        <v>3</v>
      </c>
      <c r="F20" s="75">
        <v>1.2</v>
      </c>
      <c r="G20" s="61" t="s">
        <v>223</v>
      </c>
    </row>
    <row r="21" spans="1:7" ht="18" customHeight="1" x14ac:dyDescent="0.25">
      <c r="A21" s="59">
        <v>18</v>
      </c>
      <c r="B21" s="55" t="s">
        <v>28</v>
      </c>
      <c r="C21" s="55" t="s">
        <v>452</v>
      </c>
      <c r="D21" s="77">
        <v>7500</v>
      </c>
      <c r="E21" s="55" t="s">
        <v>9</v>
      </c>
      <c r="F21" s="59">
        <v>8</v>
      </c>
      <c r="G21" s="78" t="s">
        <v>229</v>
      </c>
    </row>
    <row r="22" spans="1:7" ht="18" customHeight="1" x14ac:dyDescent="0.25">
      <c r="A22" s="75">
        <v>19</v>
      </c>
      <c r="B22" s="56" t="s">
        <v>29</v>
      </c>
      <c r="C22" s="56" t="s">
        <v>453</v>
      </c>
      <c r="D22" s="76">
        <v>19000</v>
      </c>
      <c r="E22" s="56" t="s">
        <v>5</v>
      </c>
      <c r="F22" s="75">
        <v>6</v>
      </c>
      <c r="G22" s="78" t="s">
        <v>229</v>
      </c>
    </row>
    <row r="23" spans="1:7" ht="18" customHeight="1" x14ac:dyDescent="0.25">
      <c r="A23" s="59">
        <v>20</v>
      </c>
      <c r="B23" s="55" t="s">
        <v>30</v>
      </c>
      <c r="C23" s="55" t="s">
        <v>454</v>
      </c>
      <c r="D23" s="77">
        <v>6800</v>
      </c>
      <c r="E23" s="55" t="s">
        <v>2</v>
      </c>
      <c r="F23" s="59">
        <v>11</v>
      </c>
      <c r="G23" s="65" t="s">
        <v>233</v>
      </c>
    </row>
    <row r="24" spans="1:7" ht="18" customHeight="1" x14ac:dyDescent="0.25">
      <c r="A24" s="75">
        <v>21</v>
      </c>
      <c r="B24" s="56" t="s">
        <v>31</v>
      </c>
      <c r="C24" s="56" t="s">
        <v>455</v>
      </c>
      <c r="D24" s="76">
        <v>10500</v>
      </c>
      <c r="E24" s="56" t="s">
        <v>7</v>
      </c>
      <c r="F24" s="75">
        <v>0.5</v>
      </c>
      <c r="G24" s="61" t="s">
        <v>223</v>
      </c>
    </row>
    <row r="25" spans="1:7" ht="18" customHeight="1" x14ac:dyDescent="0.25">
      <c r="A25" s="59">
        <v>22</v>
      </c>
      <c r="B25" s="55" t="s">
        <v>32</v>
      </c>
      <c r="C25" s="55" t="s">
        <v>456</v>
      </c>
      <c r="D25" s="77">
        <v>14000</v>
      </c>
      <c r="E25" s="55" t="s">
        <v>0</v>
      </c>
      <c r="F25" s="59">
        <v>7</v>
      </c>
      <c r="G25" s="65" t="s">
        <v>233</v>
      </c>
    </row>
    <row r="26" spans="1:7" ht="18" customHeight="1" x14ac:dyDescent="0.25">
      <c r="A26" s="75">
        <v>23</v>
      </c>
      <c r="B26" s="56" t="s">
        <v>33</v>
      </c>
      <c r="C26" s="56" t="s">
        <v>457</v>
      </c>
      <c r="D26" s="76">
        <v>21000</v>
      </c>
      <c r="E26" s="56" t="s">
        <v>1</v>
      </c>
      <c r="F26" s="75">
        <v>3</v>
      </c>
      <c r="G26" s="61" t="s">
        <v>223</v>
      </c>
    </row>
    <row r="27" spans="1:7" ht="18" customHeight="1" x14ac:dyDescent="0.25">
      <c r="A27" s="59">
        <v>24</v>
      </c>
      <c r="B27" s="55" t="s">
        <v>34</v>
      </c>
      <c r="C27" s="55" t="s">
        <v>458</v>
      </c>
      <c r="D27" s="77">
        <v>4500</v>
      </c>
      <c r="E27" s="55" t="s">
        <v>4</v>
      </c>
      <c r="F27" s="59">
        <v>1</v>
      </c>
      <c r="G27" s="78" t="s">
        <v>229</v>
      </c>
    </row>
    <row r="28" spans="1:7" ht="18" customHeight="1" x14ac:dyDescent="0.25">
      <c r="A28" s="75">
        <v>25</v>
      </c>
      <c r="B28" s="56" t="s">
        <v>35</v>
      </c>
      <c r="C28" s="56" t="s">
        <v>437</v>
      </c>
      <c r="D28" s="76">
        <v>9200</v>
      </c>
      <c r="E28" s="56" t="s">
        <v>6</v>
      </c>
      <c r="F28" s="75">
        <v>4.5</v>
      </c>
      <c r="G28" s="78" t="s">
        <v>229</v>
      </c>
    </row>
    <row r="29" spans="1:7" ht="18" customHeight="1" x14ac:dyDescent="0.25">
      <c r="A29" s="59">
        <v>26</v>
      </c>
      <c r="B29" s="55" t="s">
        <v>36</v>
      </c>
      <c r="C29" s="55" t="s">
        <v>459</v>
      </c>
      <c r="D29" s="77">
        <v>8000</v>
      </c>
      <c r="E29" s="55" t="s">
        <v>3</v>
      </c>
      <c r="F29" s="59">
        <v>9</v>
      </c>
      <c r="G29" s="65" t="s">
        <v>233</v>
      </c>
    </row>
    <row r="30" spans="1:7" ht="18" customHeight="1" x14ac:dyDescent="0.25">
      <c r="A30" s="75">
        <v>27</v>
      </c>
      <c r="B30" s="56" t="s">
        <v>37</v>
      </c>
      <c r="C30" s="56" t="s">
        <v>460</v>
      </c>
      <c r="D30" s="76">
        <v>11000</v>
      </c>
      <c r="E30" s="56" t="s">
        <v>9</v>
      </c>
      <c r="F30" s="75">
        <v>2</v>
      </c>
      <c r="G30" s="61" t="s">
        <v>223</v>
      </c>
    </row>
    <row r="31" spans="1:7" ht="18" customHeight="1" x14ac:dyDescent="0.25">
      <c r="A31" s="59">
        <v>28</v>
      </c>
      <c r="B31" s="55" t="s">
        <v>38</v>
      </c>
      <c r="C31" s="55" t="s">
        <v>461</v>
      </c>
      <c r="D31" s="77">
        <v>23000</v>
      </c>
      <c r="E31" s="55" t="s">
        <v>0</v>
      </c>
      <c r="F31" s="59">
        <v>5</v>
      </c>
      <c r="G31" s="78" t="s">
        <v>229</v>
      </c>
    </row>
    <row r="32" spans="1:7" ht="18" customHeight="1" x14ac:dyDescent="0.25">
      <c r="A32" s="75">
        <v>29</v>
      </c>
      <c r="B32" s="56" t="s">
        <v>39</v>
      </c>
      <c r="C32" s="56" t="s">
        <v>441</v>
      </c>
      <c r="D32" s="76">
        <v>17500</v>
      </c>
      <c r="E32" s="56" t="s">
        <v>1</v>
      </c>
      <c r="F32" s="75">
        <v>1.8</v>
      </c>
      <c r="G32" s="61" t="s">
        <v>223</v>
      </c>
    </row>
    <row r="33" spans="1:7" ht="18" customHeight="1" x14ac:dyDescent="0.25">
      <c r="A33" s="59">
        <v>30</v>
      </c>
      <c r="B33" s="55" t="s">
        <v>40</v>
      </c>
      <c r="C33" s="55" t="s">
        <v>440</v>
      </c>
      <c r="D33" s="77">
        <v>10200</v>
      </c>
      <c r="E33" s="55" t="s">
        <v>8</v>
      </c>
      <c r="F33" s="59">
        <v>13</v>
      </c>
      <c r="G33" s="65" t="s">
        <v>233</v>
      </c>
    </row>
    <row r="34" spans="1:7" ht="18" customHeight="1" x14ac:dyDescent="0.25">
      <c r="A34" s="75">
        <v>31</v>
      </c>
      <c r="B34" s="56" t="s">
        <v>41</v>
      </c>
      <c r="C34" s="56" t="s">
        <v>462</v>
      </c>
      <c r="D34" s="76">
        <v>25000</v>
      </c>
      <c r="E34" s="56" t="s">
        <v>5</v>
      </c>
      <c r="F34" s="75">
        <v>0.9</v>
      </c>
      <c r="G34" s="61" t="s">
        <v>223</v>
      </c>
    </row>
    <row r="35" spans="1:7" ht="18" customHeight="1" x14ac:dyDescent="0.25">
      <c r="A35" s="59">
        <v>32</v>
      </c>
      <c r="B35" s="55" t="s">
        <v>11</v>
      </c>
      <c r="C35" s="55" t="s">
        <v>463</v>
      </c>
      <c r="D35" s="77">
        <v>12800</v>
      </c>
      <c r="E35" s="55" t="s">
        <v>2</v>
      </c>
      <c r="F35" s="59">
        <v>6</v>
      </c>
      <c r="G35" s="78" t="s">
        <v>229</v>
      </c>
    </row>
    <row r="36" spans="1:7" ht="18" customHeight="1" x14ac:dyDescent="0.25">
      <c r="A36" s="75">
        <v>33</v>
      </c>
      <c r="B36" s="56" t="s">
        <v>42</v>
      </c>
      <c r="C36" s="56" t="s">
        <v>439</v>
      </c>
      <c r="D36" s="76">
        <v>8700</v>
      </c>
      <c r="E36" s="56" t="s">
        <v>7</v>
      </c>
      <c r="F36" s="75">
        <v>4</v>
      </c>
      <c r="G36" s="61" t="s">
        <v>223</v>
      </c>
    </row>
    <row r="37" spans="1:7" ht="18" customHeight="1" x14ac:dyDescent="0.25">
      <c r="A37" s="59">
        <v>34</v>
      </c>
      <c r="B37" s="55" t="s">
        <v>43</v>
      </c>
      <c r="C37" s="55" t="s">
        <v>444</v>
      </c>
      <c r="D37" s="77">
        <v>5500</v>
      </c>
      <c r="E37" s="55" t="s">
        <v>4</v>
      </c>
      <c r="F37" s="59">
        <v>10</v>
      </c>
      <c r="G37" s="65" t="s">
        <v>233</v>
      </c>
    </row>
    <row r="38" spans="1:7" ht="18" customHeight="1" x14ac:dyDescent="0.25">
      <c r="A38" s="75">
        <v>35</v>
      </c>
      <c r="B38" s="56" t="s">
        <v>44</v>
      </c>
      <c r="C38" s="56" t="s">
        <v>443</v>
      </c>
      <c r="D38" s="76">
        <v>30000</v>
      </c>
      <c r="E38" s="56" t="s">
        <v>0</v>
      </c>
      <c r="F38" s="75">
        <v>2.2999999999999998</v>
      </c>
      <c r="G38" s="61" t="s">
        <v>223</v>
      </c>
    </row>
    <row r="39" spans="1:7" ht="18" customHeight="1" x14ac:dyDescent="0.25">
      <c r="A39" s="59">
        <v>36</v>
      </c>
      <c r="B39" s="55" t="s">
        <v>45</v>
      </c>
      <c r="C39" s="55" t="s">
        <v>449</v>
      </c>
      <c r="D39" s="77">
        <v>15000</v>
      </c>
      <c r="E39" s="55" t="s">
        <v>1</v>
      </c>
      <c r="F39" s="59">
        <v>5</v>
      </c>
      <c r="G39" s="78" t="s">
        <v>229</v>
      </c>
    </row>
    <row r="40" spans="1:7" ht="18" customHeight="1" x14ac:dyDescent="0.25">
      <c r="A40" s="75">
        <v>37</v>
      </c>
      <c r="B40" s="56" t="s">
        <v>46</v>
      </c>
      <c r="C40" s="56" t="s">
        <v>437</v>
      </c>
      <c r="D40" s="76">
        <v>7900</v>
      </c>
      <c r="E40" s="56" t="s">
        <v>3</v>
      </c>
      <c r="F40" s="75">
        <v>1.5</v>
      </c>
      <c r="G40" s="61" t="s">
        <v>223</v>
      </c>
    </row>
    <row r="41" spans="1:7" ht="18" customHeight="1" x14ac:dyDescent="0.25">
      <c r="A41" s="59">
        <v>38</v>
      </c>
      <c r="B41" s="55" t="s">
        <v>47</v>
      </c>
      <c r="C41" s="55" t="s">
        <v>446</v>
      </c>
      <c r="D41" s="77">
        <v>9500</v>
      </c>
      <c r="E41" s="55" t="s">
        <v>6</v>
      </c>
      <c r="F41" s="59">
        <v>7</v>
      </c>
      <c r="G41" s="65" t="s">
        <v>233</v>
      </c>
    </row>
    <row r="42" spans="1:7" ht="18" customHeight="1" x14ac:dyDescent="0.25">
      <c r="A42" s="75">
        <v>39</v>
      </c>
      <c r="B42" s="56" t="s">
        <v>48</v>
      </c>
      <c r="C42" s="56" t="s">
        <v>464</v>
      </c>
      <c r="D42" s="76">
        <v>13500</v>
      </c>
      <c r="E42" s="56" t="s">
        <v>9</v>
      </c>
      <c r="F42" s="75">
        <v>3.5</v>
      </c>
      <c r="G42" s="78" t="s">
        <v>229</v>
      </c>
    </row>
    <row r="43" spans="1:7" ht="18" customHeight="1" x14ac:dyDescent="0.25">
      <c r="A43" s="59">
        <v>40</v>
      </c>
      <c r="B43" s="55" t="s">
        <v>49</v>
      </c>
      <c r="C43" s="55" t="s">
        <v>442</v>
      </c>
      <c r="D43" s="77">
        <v>11200</v>
      </c>
      <c r="E43" s="55" t="s">
        <v>5</v>
      </c>
      <c r="F43" s="59">
        <v>8</v>
      </c>
      <c r="G43" s="65" t="s">
        <v>233</v>
      </c>
    </row>
    <row r="44" spans="1:7" ht="18" customHeight="1" x14ac:dyDescent="0.25">
      <c r="A44" s="75">
        <v>41</v>
      </c>
      <c r="B44" s="56" t="s">
        <v>50</v>
      </c>
      <c r="C44" s="56" t="s">
        <v>441</v>
      </c>
      <c r="D44" s="76">
        <v>16800</v>
      </c>
      <c r="E44" s="56" t="s">
        <v>1</v>
      </c>
      <c r="F44" s="75">
        <v>2</v>
      </c>
      <c r="G44" s="61" t="s">
        <v>223</v>
      </c>
    </row>
    <row r="45" spans="1:7" ht="18" customHeight="1" x14ac:dyDescent="0.25">
      <c r="A45" s="59">
        <v>42</v>
      </c>
      <c r="B45" s="55" t="s">
        <v>51</v>
      </c>
      <c r="C45" s="55" t="s">
        <v>465</v>
      </c>
      <c r="D45" s="77">
        <v>10800</v>
      </c>
      <c r="E45" s="55" t="s">
        <v>0</v>
      </c>
      <c r="F45" s="59">
        <v>6</v>
      </c>
      <c r="G45" s="65" t="s">
        <v>233</v>
      </c>
    </row>
    <row r="46" spans="1:7" ht="18" customHeight="1" x14ac:dyDescent="0.25">
      <c r="A46" s="75">
        <v>43</v>
      </c>
      <c r="B46" s="56" t="s">
        <v>52</v>
      </c>
      <c r="C46" s="56" t="s">
        <v>466</v>
      </c>
      <c r="D46" s="76">
        <v>8400</v>
      </c>
      <c r="E46" s="56" t="s">
        <v>7</v>
      </c>
      <c r="F46" s="75">
        <v>0.7</v>
      </c>
      <c r="G46" s="61" t="s">
        <v>223</v>
      </c>
    </row>
    <row r="47" spans="1:7" ht="18" customHeight="1" x14ac:dyDescent="0.25">
      <c r="A47" s="59">
        <v>44</v>
      </c>
      <c r="B47" s="55" t="s">
        <v>53</v>
      </c>
      <c r="C47" s="55" t="s">
        <v>447</v>
      </c>
      <c r="D47" s="77">
        <v>14200</v>
      </c>
      <c r="E47" s="55" t="s">
        <v>8</v>
      </c>
      <c r="F47" s="59">
        <v>9</v>
      </c>
      <c r="G47" s="78" t="s">
        <v>229</v>
      </c>
    </row>
    <row r="48" spans="1:7" ht="18" customHeight="1" x14ac:dyDescent="0.25">
      <c r="A48" s="75">
        <v>45</v>
      </c>
      <c r="B48" s="56" t="s">
        <v>54</v>
      </c>
      <c r="C48" s="56" t="s">
        <v>445</v>
      </c>
      <c r="D48" s="76">
        <v>24000</v>
      </c>
      <c r="E48" s="56" t="s">
        <v>3</v>
      </c>
      <c r="F48" s="75">
        <v>1.1000000000000001</v>
      </c>
      <c r="G48" s="61" t="s">
        <v>223</v>
      </c>
    </row>
    <row r="49" spans="1:7" ht="18" customHeight="1" x14ac:dyDescent="0.25">
      <c r="A49" s="59">
        <v>46</v>
      </c>
      <c r="B49" s="55" t="s">
        <v>55</v>
      </c>
      <c r="C49" s="55" t="s">
        <v>454</v>
      </c>
      <c r="D49" s="77">
        <v>6500</v>
      </c>
      <c r="E49" s="55" t="s">
        <v>2</v>
      </c>
      <c r="F49" s="59">
        <v>12</v>
      </c>
      <c r="G49" s="65" t="s">
        <v>233</v>
      </c>
    </row>
    <row r="50" spans="1:7" ht="18" customHeight="1" x14ac:dyDescent="0.25">
      <c r="A50" s="75">
        <v>47</v>
      </c>
      <c r="B50" s="56" t="s">
        <v>56</v>
      </c>
      <c r="C50" s="56" t="s">
        <v>437</v>
      </c>
      <c r="D50" s="76">
        <v>9000</v>
      </c>
      <c r="E50" s="56" t="s">
        <v>9</v>
      </c>
      <c r="F50" s="75">
        <v>4</v>
      </c>
      <c r="G50" s="78" t="s">
        <v>229</v>
      </c>
    </row>
    <row r="51" spans="1:7" ht="18" customHeight="1" x14ac:dyDescent="0.25">
      <c r="A51" s="59">
        <v>48</v>
      </c>
      <c r="B51" s="55" t="s">
        <v>57</v>
      </c>
      <c r="C51" s="55" t="s">
        <v>456</v>
      </c>
      <c r="D51" s="77">
        <v>13800</v>
      </c>
      <c r="E51" s="55" t="s">
        <v>0</v>
      </c>
      <c r="F51" s="59">
        <v>5</v>
      </c>
      <c r="G51" s="65" t="s">
        <v>233</v>
      </c>
    </row>
    <row r="52" spans="1:7" ht="18" customHeight="1" x14ac:dyDescent="0.25">
      <c r="A52" s="75">
        <v>49</v>
      </c>
      <c r="B52" s="56" t="s">
        <v>58</v>
      </c>
      <c r="C52" s="56" t="s">
        <v>443</v>
      </c>
      <c r="D52" s="76">
        <v>27000</v>
      </c>
      <c r="E52" s="56" t="s">
        <v>1</v>
      </c>
      <c r="F52" s="75">
        <v>2.8</v>
      </c>
      <c r="G52" s="61" t="s">
        <v>223</v>
      </c>
    </row>
    <row r="53" spans="1:7" ht="18" customHeight="1" x14ac:dyDescent="0.25">
      <c r="A53" s="59">
        <v>50</v>
      </c>
      <c r="B53" s="55" t="s">
        <v>59</v>
      </c>
      <c r="C53" s="55" t="s">
        <v>467</v>
      </c>
      <c r="D53" s="77">
        <v>5000</v>
      </c>
      <c r="E53" s="55" t="s">
        <v>4</v>
      </c>
      <c r="F53" s="59">
        <v>1</v>
      </c>
      <c r="G53" s="78" t="s">
        <v>229</v>
      </c>
    </row>
    <row r="54" spans="1:7" ht="18" customHeight="1" x14ac:dyDescent="0.25">
      <c r="A54" s="75">
        <v>51</v>
      </c>
      <c r="B54" s="56" t="s">
        <v>60</v>
      </c>
      <c r="C54" s="56" t="s">
        <v>460</v>
      </c>
      <c r="D54" s="76">
        <v>10900</v>
      </c>
      <c r="E54" s="56" t="s">
        <v>5</v>
      </c>
      <c r="F54" s="75">
        <v>7</v>
      </c>
      <c r="G54" s="65" t="s">
        <v>233</v>
      </c>
    </row>
    <row r="55" spans="1:7" ht="18" customHeight="1" x14ac:dyDescent="0.25">
      <c r="A55" s="59">
        <v>52</v>
      </c>
      <c r="B55" s="55" t="s">
        <v>61</v>
      </c>
      <c r="C55" s="55" t="s">
        <v>440</v>
      </c>
      <c r="D55" s="77">
        <v>11000</v>
      </c>
      <c r="E55" s="55" t="s">
        <v>6</v>
      </c>
      <c r="F55" s="59">
        <v>8</v>
      </c>
      <c r="G55" s="65" t="s">
        <v>233</v>
      </c>
    </row>
    <row r="56" spans="1:7" ht="18" customHeight="1" x14ac:dyDescent="0.25">
      <c r="A56" s="75">
        <v>53</v>
      </c>
      <c r="B56" s="56" t="s">
        <v>62</v>
      </c>
      <c r="C56" s="56" t="s">
        <v>441</v>
      </c>
      <c r="D56" s="76">
        <v>19500</v>
      </c>
      <c r="E56" s="56" t="s">
        <v>7</v>
      </c>
      <c r="F56" s="75">
        <v>3</v>
      </c>
      <c r="G56" s="61" t="s">
        <v>223</v>
      </c>
    </row>
    <row r="57" spans="1:7" ht="18" customHeight="1" x14ac:dyDescent="0.25">
      <c r="A57" s="59">
        <v>54</v>
      </c>
      <c r="B57" s="55" t="s">
        <v>63</v>
      </c>
      <c r="C57" s="55" t="s">
        <v>447</v>
      </c>
      <c r="D57" s="77">
        <v>15500</v>
      </c>
      <c r="E57" s="55" t="s">
        <v>0</v>
      </c>
      <c r="F57" s="59">
        <v>6</v>
      </c>
      <c r="G57" s="78" t="s">
        <v>229</v>
      </c>
    </row>
    <row r="58" spans="1:7" ht="18" customHeight="1" x14ac:dyDescent="0.25">
      <c r="A58" s="75">
        <v>55</v>
      </c>
      <c r="B58" s="56" t="s">
        <v>64</v>
      </c>
      <c r="C58" s="56" t="s">
        <v>439</v>
      </c>
      <c r="D58" s="76">
        <v>8100</v>
      </c>
      <c r="E58" s="56" t="s">
        <v>1</v>
      </c>
      <c r="F58" s="75">
        <v>2</v>
      </c>
      <c r="G58" s="61" t="s">
        <v>223</v>
      </c>
    </row>
    <row r="59" spans="1:7" ht="18" customHeight="1" x14ac:dyDescent="0.25">
      <c r="A59" s="59">
        <v>56</v>
      </c>
      <c r="B59" s="55" t="s">
        <v>468</v>
      </c>
      <c r="C59" s="55" t="s">
        <v>457</v>
      </c>
      <c r="D59" s="77">
        <v>18000</v>
      </c>
      <c r="E59" s="55" t="s">
        <v>2</v>
      </c>
      <c r="F59" s="59">
        <v>0.8</v>
      </c>
      <c r="G59" s="61" t="s">
        <v>223</v>
      </c>
    </row>
    <row r="60" spans="1:7" ht="18" customHeight="1" x14ac:dyDescent="0.25">
      <c r="A60" s="75">
        <v>57</v>
      </c>
      <c r="B60" s="56" t="s">
        <v>469</v>
      </c>
      <c r="C60" s="56" t="s">
        <v>467</v>
      </c>
      <c r="D60" s="76">
        <v>4500</v>
      </c>
      <c r="E60" s="56" t="s">
        <v>4</v>
      </c>
      <c r="F60" s="75">
        <v>3</v>
      </c>
      <c r="G60" s="65" t="s">
        <v>233</v>
      </c>
    </row>
    <row r="61" spans="1:7" ht="18" customHeight="1" x14ac:dyDescent="0.25">
      <c r="A61" s="59">
        <v>58</v>
      </c>
      <c r="B61" s="55" t="s">
        <v>470</v>
      </c>
      <c r="C61" s="55" t="s">
        <v>443</v>
      </c>
      <c r="D61" s="77">
        <v>25000</v>
      </c>
      <c r="E61" s="55" t="s">
        <v>0</v>
      </c>
      <c r="F61" s="59">
        <v>4</v>
      </c>
      <c r="G61" s="61" t="s">
        <v>223</v>
      </c>
    </row>
    <row r="62" spans="1:7" ht="18" customHeight="1" x14ac:dyDescent="0.25">
      <c r="A62" s="75">
        <v>59</v>
      </c>
      <c r="B62" s="56" t="s">
        <v>471</v>
      </c>
      <c r="C62" s="56" t="s">
        <v>444</v>
      </c>
      <c r="D62" s="76">
        <v>6000</v>
      </c>
      <c r="E62" s="56" t="s">
        <v>3</v>
      </c>
      <c r="F62" s="75">
        <v>7</v>
      </c>
      <c r="G62" s="78" t="s">
        <v>229</v>
      </c>
    </row>
    <row r="63" spans="1:7" ht="18" customHeight="1" x14ac:dyDescent="0.25">
      <c r="A63" s="59">
        <v>60</v>
      </c>
      <c r="B63" s="55" t="s">
        <v>472</v>
      </c>
      <c r="C63" s="55" t="s">
        <v>445</v>
      </c>
      <c r="D63" s="77">
        <v>22000</v>
      </c>
      <c r="E63" s="55" t="s">
        <v>1</v>
      </c>
      <c r="F63" s="59">
        <v>1.5</v>
      </c>
      <c r="G63" s="61" t="s">
        <v>223</v>
      </c>
    </row>
    <row r="64" spans="1:7" ht="18" customHeight="1" x14ac:dyDescent="0.25">
      <c r="A64" s="75">
        <v>61</v>
      </c>
      <c r="B64" s="56" t="s">
        <v>68</v>
      </c>
      <c r="C64" s="56" t="s">
        <v>461</v>
      </c>
      <c r="D64" s="76">
        <v>21500</v>
      </c>
      <c r="E64" s="56" t="s">
        <v>0</v>
      </c>
      <c r="F64" s="75">
        <v>2.2000000000000002</v>
      </c>
      <c r="G64" s="61" t="s">
        <v>223</v>
      </c>
    </row>
    <row r="65" spans="1:7" ht="18" customHeight="1" x14ac:dyDescent="0.25">
      <c r="A65" s="59">
        <v>62</v>
      </c>
      <c r="B65" s="55" t="s">
        <v>69</v>
      </c>
      <c r="C65" s="55" t="s">
        <v>473</v>
      </c>
      <c r="D65" s="77">
        <v>26000</v>
      </c>
      <c r="E65" s="55" t="s">
        <v>5</v>
      </c>
      <c r="F65" s="59">
        <v>1.8</v>
      </c>
      <c r="G65" s="61" t="s">
        <v>223</v>
      </c>
    </row>
    <row r="66" spans="1:7" ht="18" customHeight="1" x14ac:dyDescent="0.25">
      <c r="A66" s="75">
        <v>63</v>
      </c>
      <c r="B66" s="56" t="s">
        <v>70</v>
      </c>
      <c r="C66" s="56" t="s">
        <v>474</v>
      </c>
      <c r="D66" s="76">
        <v>9500</v>
      </c>
      <c r="E66" s="56" t="s">
        <v>6</v>
      </c>
      <c r="F66" s="75">
        <v>6</v>
      </c>
      <c r="G66" s="78" t="s">
        <v>229</v>
      </c>
    </row>
    <row r="67" spans="1:7" ht="18" customHeight="1" x14ac:dyDescent="0.25">
      <c r="A67" s="59">
        <v>64</v>
      </c>
      <c r="B67" s="55" t="s">
        <v>71</v>
      </c>
      <c r="C67" s="55" t="s">
        <v>475</v>
      </c>
      <c r="D67" s="77">
        <v>24000</v>
      </c>
      <c r="E67" s="55" t="s">
        <v>1</v>
      </c>
      <c r="F67" s="59">
        <v>0.9</v>
      </c>
      <c r="G67" s="61" t="s">
        <v>223</v>
      </c>
    </row>
    <row r="68" spans="1:7" ht="18" customHeight="1" x14ac:dyDescent="0.25">
      <c r="A68" s="75">
        <v>65</v>
      </c>
      <c r="B68" s="56" t="s">
        <v>72</v>
      </c>
      <c r="C68" s="56" t="s">
        <v>456</v>
      </c>
      <c r="D68" s="76">
        <v>14200</v>
      </c>
      <c r="E68" s="56" t="s">
        <v>3</v>
      </c>
      <c r="F68" s="75">
        <v>5</v>
      </c>
      <c r="G68" s="78" t="s">
        <v>229</v>
      </c>
    </row>
    <row r="69" spans="1:7" ht="18" customHeight="1" x14ac:dyDescent="0.25">
      <c r="A69" s="59">
        <v>66</v>
      </c>
      <c r="B69" s="55" t="s">
        <v>73</v>
      </c>
      <c r="C69" s="55" t="s">
        <v>441</v>
      </c>
      <c r="D69" s="77">
        <v>17800</v>
      </c>
      <c r="E69" s="55" t="s">
        <v>9</v>
      </c>
      <c r="F69" s="59">
        <v>3</v>
      </c>
      <c r="G69" s="61" t="s">
        <v>223</v>
      </c>
    </row>
    <row r="70" spans="1:7" ht="18" customHeight="1" x14ac:dyDescent="0.25">
      <c r="A70" s="75">
        <v>67</v>
      </c>
      <c r="B70" s="56" t="s">
        <v>74</v>
      </c>
      <c r="C70" s="56" t="s">
        <v>449</v>
      </c>
      <c r="D70" s="76">
        <v>16500</v>
      </c>
      <c r="E70" s="56" t="s">
        <v>2</v>
      </c>
      <c r="F70" s="75">
        <v>4</v>
      </c>
      <c r="G70" s="78" t="s">
        <v>229</v>
      </c>
    </row>
    <row r="71" spans="1:7" ht="18" customHeight="1" x14ac:dyDescent="0.25">
      <c r="A71" s="59">
        <v>68</v>
      </c>
      <c r="B71" s="55" t="s">
        <v>75</v>
      </c>
      <c r="C71" s="55" t="s">
        <v>476</v>
      </c>
      <c r="D71" s="77">
        <v>29000</v>
      </c>
      <c r="E71" s="55" t="s">
        <v>0</v>
      </c>
      <c r="F71" s="59">
        <v>2.5</v>
      </c>
      <c r="G71" s="61" t="s">
        <v>223</v>
      </c>
    </row>
    <row r="72" spans="1:7" ht="18" customHeight="1" x14ac:dyDescent="0.25">
      <c r="A72" s="75">
        <v>69</v>
      </c>
      <c r="B72" s="56" t="s">
        <v>76</v>
      </c>
      <c r="C72" s="56" t="s">
        <v>440</v>
      </c>
      <c r="D72" s="76">
        <v>10900</v>
      </c>
      <c r="E72" s="56" t="s">
        <v>8</v>
      </c>
      <c r="F72" s="75">
        <v>7</v>
      </c>
      <c r="G72" s="65" t="s">
        <v>233</v>
      </c>
    </row>
    <row r="73" spans="1:7" ht="18" customHeight="1" x14ac:dyDescent="0.25">
      <c r="A73" s="59">
        <v>70</v>
      </c>
      <c r="B73" s="55" t="s">
        <v>77</v>
      </c>
      <c r="C73" s="55" t="s">
        <v>443</v>
      </c>
      <c r="D73" s="77">
        <v>31000</v>
      </c>
      <c r="E73" s="55" t="s">
        <v>7</v>
      </c>
      <c r="F73" s="59">
        <v>1.3</v>
      </c>
      <c r="G73" s="61" t="s">
        <v>223</v>
      </c>
    </row>
  </sheetData>
  <mergeCells count="2">
    <mergeCell ref="A1:G1"/>
    <mergeCell ref="A2:G2"/>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640E3-98F9-4789-9A23-3FEDEAAC2284}">
  <sheetPr codeName="Hoja9"/>
  <dimension ref="A1:O304"/>
  <sheetViews>
    <sheetView showGridLines="0" topLeftCell="D289" zoomScale="110" zoomScaleNormal="110" workbookViewId="0">
      <selection activeCell="I304" sqref="I304:L304"/>
    </sheetView>
  </sheetViews>
  <sheetFormatPr baseColWidth="10" defaultColWidth="9.140625" defaultRowHeight="15" x14ac:dyDescent="0.25"/>
  <cols>
    <col min="1" max="1" width="7" customWidth="1"/>
    <col min="2" max="2" width="6" customWidth="1"/>
    <col min="3" max="3" width="24" customWidth="1"/>
    <col min="4" max="5" width="12" customWidth="1"/>
    <col min="6" max="6" width="14" customWidth="1"/>
    <col min="7" max="7" width="16" customWidth="1"/>
    <col min="8" max="8" width="28" customWidth="1"/>
    <col min="9" max="9" width="18" customWidth="1"/>
    <col min="10" max="11" width="14" customWidth="1"/>
    <col min="12" max="12" width="29.140625" customWidth="1"/>
    <col min="14" max="14" width="16" style="2" customWidth="1"/>
    <col min="15" max="15" width="15.42578125" style="2" customWidth="1"/>
  </cols>
  <sheetData>
    <row r="1" spans="1:15" ht="27.95" customHeight="1" x14ac:dyDescent="0.25">
      <c r="A1" s="147" t="s">
        <v>477</v>
      </c>
      <c r="B1" s="148"/>
      <c r="C1" s="148"/>
      <c r="D1" s="148"/>
      <c r="E1" s="148"/>
      <c r="F1" s="148"/>
      <c r="G1" s="148"/>
      <c r="H1" s="148"/>
      <c r="I1" s="148"/>
      <c r="J1" s="148"/>
      <c r="K1" s="148"/>
      <c r="L1" s="148"/>
    </row>
    <row r="2" spans="1:15" ht="15.95" customHeight="1" x14ac:dyDescent="0.25">
      <c r="A2" s="165" t="s">
        <v>478</v>
      </c>
      <c r="B2" s="148"/>
      <c r="C2" s="148"/>
      <c r="D2" s="148"/>
      <c r="E2" s="148"/>
      <c r="F2" s="148"/>
      <c r="G2" s="148"/>
      <c r="H2" s="148"/>
      <c r="I2" s="148"/>
      <c r="J2" s="148"/>
      <c r="K2" s="148"/>
      <c r="L2" s="148"/>
    </row>
    <row r="3" spans="1:15" ht="32.1" customHeight="1" x14ac:dyDescent="0.25">
      <c r="A3" s="74" t="s">
        <v>479</v>
      </c>
      <c r="B3" s="74" t="s">
        <v>480</v>
      </c>
      <c r="C3" s="74" t="s">
        <v>481</v>
      </c>
      <c r="D3" s="74" t="s">
        <v>65</v>
      </c>
      <c r="E3" s="74" t="s">
        <v>482</v>
      </c>
      <c r="F3" s="74" t="s">
        <v>483</v>
      </c>
      <c r="G3" s="74" t="s">
        <v>374</v>
      </c>
      <c r="H3" s="74" t="s">
        <v>484</v>
      </c>
      <c r="I3" s="74" t="s">
        <v>485</v>
      </c>
      <c r="J3" s="74" t="s">
        <v>486</v>
      </c>
      <c r="K3" s="74" t="s">
        <v>487</v>
      </c>
      <c r="L3" s="74" t="s">
        <v>380</v>
      </c>
      <c r="N3" s="79" t="s">
        <v>488</v>
      </c>
      <c r="O3" s="79" t="s">
        <v>351</v>
      </c>
    </row>
    <row r="4" spans="1:15" ht="18" customHeight="1" x14ac:dyDescent="0.25">
      <c r="A4" s="75">
        <v>1</v>
      </c>
      <c r="B4" s="75">
        <v>10</v>
      </c>
      <c r="C4" s="56" t="s">
        <v>20</v>
      </c>
      <c r="D4" s="56" t="s">
        <v>489</v>
      </c>
      <c r="E4" s="56" t="s">
        <v>490</v>
      </c>
      <c r="F4" s="76">
        <v>8500</v>
      </c>
      <c r="G4" s="56" t="s">
        <v>491</v>
      </c>
      <c r="H4" s="56" t="s">
        <v>492</v>
      </c>
      <c r="I4" s="76">
        <f>VLOOKUP(B4,'Caso 2 (Socios)'!$A$4:$G$73,4,FALSE)</f>
        <v>8200</v>
      </c>
      <c r="J4" s="75" t="str">
        <f>IF(F4 &gt; I4*3, "Sí", "No")</f>
        <v>No</v>
      </c>
      <c r="K4" s="80" t="str">
        <f>IF(L4="Normal", "✔️", "⚠️")</f>
        <v>✔️</v>
      </c>
      <c r="L4" s="56" t="str">
        <f>IF(AND(E4="Depósito",F4&gt;=50000,F4&gt;I4*3,G4="Sucursal"),"Monto alto + Inconsistencia",IF(AND(E4="Retiro",F4&gt;=50000,F4&gt;I4*3,G4="Sucursal"),"Monto alto + Inconsistencia",IF(AND(E4="Depósito",F4&gt;=50000,G4="Sucursal"),"Monto alto en efectivo",IF(AND(E4="Retiro",F4&gt;=40000,G4="Sucursal",O4&gt;=1),"Retiro inmediato",IF(AND(E4="Depósito",F4&gt;I4*3,F4&gt;=15000),"Inconsistencia de perfil",IF(AND(E4="Depósito",F4&gt;=15000,F4&lt;=49999,N4&gt;=2),"Posible fraccionamiento","Normal"))))))</f>
        <v>Normal</v>
      </c>
      <c r="N4" s="2" cm="1">
        <f t="array" ref="N4">SUMPRODUCT(
  (B$4:B4=B4)*
  (E$4:E4="Depósito")*
  (F$4:F4&gt;=15000)*
  (F$4:F4&lt;=49999)*
  (D$4:D4&gt;=D4-5)*
  (D$4:D4&lt;=D4)
)</f>
        <v>0</v>
      </c>
      <c r="O4" s="2" cm="1">
        <f t="array" ref="O4">IF(AND(E4="Retiro",F4&gt;=40000,G4="Sucursal"),
  SUMPRODUCT(
    (B$4:B4=B4)*
    (E$4:E4="Depósito")*
    (F$4:F4&gt;=F4*0.8)*
    (D$4:D4&gt;=D4-3)*
    (D$4:D4&lt;D4)
  ),0)</f>
        <v>0</v>
      </c>
    </row>
    <row r="5" spans="1:15" ht="18" customHeight="1" x14ac:dyDescent="0.25">
      <c r="A5" s="59">
        <v>2</v>
      </c>
      <c r="B5" s="59">
        <v>14</v>
      </c>
      <c r="C5" s="55" t="s">
        <v>24</v>
      </c>
      <c r="D5" s="55" t="s">
        <v>493</v>
      </c>
      <c r="E5" s="55" t="s">
        <v>490</v>
      </c>
      <c r="F5" s="77">
        <v>13200</v>
      </c>
      <c r="G5" s="55" t="s">
        <v>494</v>
      </c>
      <c r="H5" s="55" t="s">
        <v>495</v>
      </c>
      <c r="I5" s="76">
        <f>VLOOKUP(B5,'Caso 2 (Socios)'!$A$4:$G$73,4,FALSE)</f>
        <v>13000</v>
      </c>
      <c r="J5" s="75" t="str">
        <f t="shared" ref="J5:J68" si="0">IF(F5 &gt; I5*3, "Sí", "No")</f>
        <v>No</v>
      </c>
      <c r="K5" s="80" t="str">
        <f t="shared" ref="K5:K68" si="1">IF(L5="Normal", "✔️", "⚠️")</f>
        <v>✔️</v>
      </c>
      <c r="L5" s="56" t="str">
        <f t="shared" ref="L5:L68" si="2">IF(AND(E5="Depósito",F5&gt;=50000,F5&gt;I5*3,G5="Sucursal"),"Monto alto + Inconsistencia",IF(AND(E5="Retiro",F5&gt;=50000,F5&gt;I5*3,G5="Sucursal"),"Monto alto + Inconsistencia",IF(AND(E5="Depósito",F5&gt;=50000,G5="Sucursal"),"Monto alto en efectivo",IF(AND(E5="Retiro",F5&gt;=40000,G5="Sucursal",O5&gt;=1),"Retiro inmediato",IF(AND(E5="Depósito",F5&gt;I5*3,F5&gt;=15000),"Inconsistencia de perfil",IF(AND(E5="Depósito",F5&gt;=15000,F5&lt;=49999,N5&gt;=2),"Posible fraccionamiento","Normal"))))))</f>
        <v>Normal</v>
      </c>
      <c r="N5" s="2" cm="1">
        <f t="array" ref="N5">SUMPRODUCT(
  (B$4:B5=B5)*
  (E$4:E5="Depósito")*
  (F$4:F5&gt;=15000)*
  (F$4:F5&lt;=49999)*
  (D$4:D5&gt;=D5-5)*
  (D$4:D5&lt;=D5)
)</f>
        <v>0</v>
      </c>
      <c r="O5" s="2" cm="1">
        <f t="array" ref="O5">IF(AND(E5="Retiro",F5&gt;=40000,G5="Sucursal"),
  SUMPRODUCT(
    (B$4:B5=B5)*
    (E$4:E5="Depósito")*
    (F$4:F5&gt;=F5*0.8)*
    (D$4:D5&gt;=D5-3)*
    (D$4:D5&lt;D5)
  ),0)</f>
        <v>0</v>
      </c>
    </row>
    <row r="6" spans="1:15" ht="18" customHeight="1" x14ac:dyDescent="0.25">
      <c r="A6" s="75">
        <v>3</v>
      </c>
      <c r="B6" s="75">
        <v>18</v>
      </c>
      <c r="C6" s="56" t="s">
        <v>28</v>
      </c>
      <c r="D6" s="56" t="s">
        <v>496</v>
      </c>
      <c r="E6" s="56" t="s">
        <v>490</v>
      </c>
      <c r="F6" s="76">
        <v>7600</v>
      </c>
      <c r="G6" s="56" t="s">
        <v>491</v>
      </c>
      <c r="H6" s="56" t="s">
        <v>497</v>
      </c>
      <c r="I6" s="76">
        <f>VLOOKUP(B6,'Caso 2 (Socios)'!$A$4:$G$73,4,FALSE)</f>
        <v>7500</v>
      </c>
      <c r="J6" s="75" t="str">
        <f t="shared" si="0"/>
        <v>No</v>
      </c>
      <c r="K6" s="80" t="str">
        <f t="shared" si="1"/>
        <v>✔️</v>
      </c>
      <c r="L6" s="56" t="str">
        <f t="shared" si="2"/>
        <v>Normal</v>
      </c>
      <c r="N6" s="2" cm="1">
        <f t="array" ref="N6">SUMPRODUCT(
  (B$4:B6=B6)*
  (E$4:E6="Depósito")*
  (F$4:F6&gt;=15000)*
  (F$4:F6&lt;=49999)*
  (D$4:D6&gt;=D6-5)*
  (D$4:D6&lt;=D6)
)</f>
        <v>0</v>
      </c>
      <c r="O6" s="2" cm="1">
        <f t="array" ref="O6">IF(AND(E6="Retiro",F6&gt;=40000,G6="Sucursal"),
  SUMPRODUCT(
    (B$4:B6=B6)*
    (E$4:E6="Depósito")*
    (F$4:F6&gt;=F6*0.8)*
    (D$4:D6&gt;=D6-3)*
    (D$4:D6&lt;D6)
  ),0)</f>
        <v>0</v>
      </c>
    </row>
    <row r="7" spans="1:15" ht="18" customHeight="1" x14ac:dyDescent="0.25">
      <c r="A7" s="59">
        <v>4</v>
      </c>
      <c r="B7" s="59">
        <v>20</v>
      </c>
      <c r="C7" s="55" t="s">
        <v>30</v>
      </c>
      <c r="D7" s="55" t="s">
        <v>498</v>
      </c>
      <c r="E7" s="55" t="s">
        <v>490</v>
      </c>
      <c r="F7" s="77">
        <v>7300</v>
      </c>
      <c r="G7" s="55" t="s">
        <v>494</v>
      </c>
      <c r="H7" s="55" t="s">
        <v>499</v>
      </c>
      <c r="I7" s="76">
        <f>VLOOKUP(B7,'Caso 2 (Socios)'!$A$4:$G$73,4,FALSE)</f>
        <v>6800</v>
      </c>
      <c r="J7" s="75" t="str">
        <f t="shared" si="0"/>
        <v>No</v>
      </c>
      <c r="K7" s="80" t="str">
        <f t="shared" si="1"/>
        <v>✔️</v>
      </c>
      <c r="L7" s="56" t="str">
        <f t="shared" si="2"/>
        <v>Normal</v>
      </c>
      <c r="N7" s="2" cm="1">
        <f t="array" ref="N7">SUMPRODUCT(
  (B$4:B7=B7)*
  (E$4:E7="Depósito")*
  (F$4:F7&gt;=15000)*
  (F$4:F7&lt;=49999)*
  (D$4:D7&gt;=D7-5)*
  (D$4:D7&lt;=D7)
)</f>
        <v>0</v>
      </c>
      <c r="O7" s="2" cm="1">
        <f t="array" ref="O7">IF(AND(E7="Retiro",F7&gt;=40000,G7="Sucursal"),
  SUMPRODUCT(
    (B$4:B7=B7)*
    (E$4:E7="Depósito")*
    (F$4:F7&gt;=F7*0.8)*
    (D$4:D7&gt;=D7-3)*
    (D$4:D7&lt;D7)
  ),0)</f>
        <v>0</v>
      </c>
    </row>
    <row r="8" spans="1:15" ht="18" customHeight="1" x14ac:dyDescent="0.25">
      <c r="A8" s="75">
        <v>5</v>
      </c>
      <c r="B8" s="75">
        <v>25</v>
      </c>
      <c r="C8" s="56" t="s">
        <v>35</v>
      </c>
      <c r="D8" s="56" t="s">
        <v>500</v>
      </c>
      <c r="E8" s="56" t="s">
        <v>490</v>
      </c>
      <c r="F8" s="76">
        <v>48000</v>
      </c>
      <c r="G8" s="56" t="s">
        <v>494</v>
      </c>
      <c r="H8" s="56" t="s">
        <v>501</v>
      </c>
      <c r="I8" s="76">
        <f>VLOOKUP(B8,'Caso 2 (Socios)'!$A$4:$G$73,4,FALSE)</f>
        <v>9200</v>
      </c>
      <c r="J8" s="75" t="str">
        <f t="shared" si="0"/>
        <v>Sí</v>
      </c>
      <c r="K8" s="80" t="str">
        <f t="shared" si="1"/>
        <v>⚠️</v>
      </c>
      <c r="L8" s="56" t="str">
        <f t="shared" si="2"/>
        <v>Inconsistencia de perfil</v>
      </c>
      <c r="N8" s="2" cm="1">
        <f t="array" ref="N8">SUMPRODUCT(
  (B$4:B8=B8)*
  (E$4:E8="Depósito")*
  (F$4:F8&gt;=15000)*
  (F$4:F8&lt;=49999)*
  (D$4:D8&gt;=D8-5)*
  (D$4:D8&lt;=D8)
)</f>
        <v>1</v>
      </c>
      <c r="O8" s="2" cm="1">
        <f t="array" ref="O8">IF(AND(E8="Retiro",F8&gt;=40000,G8="Sucursal"),
  SUMPRODUCT(
    (B$4:B8=B8)*
    (E$4:E8="Depósito")*
    (F$4:F8&gt;=F8*0.8)*
    (D$4:D8&gt;=D8-3)*
    (D$4:D8&lt;D8)
  ),0)</f>
        <v>0</v>
      </c>
    </row>
    <row r="9" spans="1:15" ht="18" customHeight="1" x14ac:dyDescent="0.25">
      <c r="A9" s="59">
        <v>6</v>
      </c>
      <c r="B9" s="59">
        <v>25</v>
      </c>
      <c r="C9" s="55" t="s">
        <v>35</v>
      </c>
      <c r="D9" s="55" t="s">
        <v>502</v>
      </c>
      <c r="E9" s="55" t="s">
        <v>490</v>
      </c>
      <c r="F9" s="77">
        <v>47500</v>
      </c>
      <c r="G9" s="55" t="s">
        <v>494</v>
      </c>
      <c r="H9" s="55" t="s">
        <v>501</v>
      </c>
      <c r="I9" s="76">
        <f>VLOOKUP(B9,'Caso 2 (Socios)'!$A$4:$G$73,4,FALSE)</f>
        <v>9200</v>
      </c>
      <c r="J9" s="75" t="str">
        <f t="shared" si="0"/>
        <v>Sí</v>
      </c>
      <c r="K9" s="80" t="str">
        <f t="shared" si="1"/>
        <v>⚠️</v>
      </c>
      <c r="L9" s="56" t="str">
        <f t="shared" si="2"/>
        <v>Inconsistencia de perfil</v>
      </c>
      <c r="N9" s="2" cm="1">
        <f t="array" ref="N9">SUMPRODUCT(
  (B$4:B9=B9)*
  (E$4:E9="Depósito")*
  (F$4:F9&gt;=15000)*
  (F$4:F9&lt;=49999)*
  (D$4:D9&gt;=D9-5)*
  (D$4:D9&lt;=D9)
)</f>
        <v>2</v>
      </c>
      <c r="O9" s="2" cm="1">
        <f t="array" ref="O9">IF(AND(E9="Retiro",F9&gt;=40000,G9="Sucursal"),
  SUMPRODUCT(
    (B$4:B9=B9)*
    (E$4:E9="Depósito")*
    (F$4:F9&gt;=F9*0.8)*
    (D$4:D9&gt;=D9-3)*
    (D$4:D9&lt;D9)
  ),0)</f>
        <v>0</v>
      </c>
    </row>
    <row r="10" spans="1:15" ht="18" customHeight="1" x14ac:dyDescent="0.25">
      <c r="A10" s="75">
        <v>7</v>
      </c>
      <c r="B10" s="75">
        <v>27</v>
      </c>
      <c r="C10" s="56" t="s">
        <v>37</v>
      </c>
      <c r="D10" s="56" t="s">
        <v>503</v>
      </c>
      <c r="E10" s="56" t="s">
        <v>490</v>
      </c>
      <c r="F10" s="76">
        <v>11500</v>
      </c>
      <c r="G10" s="56" t="s">
        <v>491</v>
      </c>
      <c r="H10" s="56" t="s">
        <v>504</v>
      </c>
      <c r="I10" s="76">
        <f>VLOOKUP(B10,'Caso 2 (Socios)'!$A$4:$G$73,4,FALSE)</f>
        <v>11000</v>
      </c>
      <c r="J10" s="75" t="str">
        <f t="shared" si="0"/>
        <v>No</v>
      </c>
      <c r="K10" s="80" t="str">
        <f t="shared" si="1"/>
        <v>✔️</v>
      </c>
      <c r="L10" s="56" t="str">
        <f t="shared" si="2"/>
        <v>Normal</v>
      </c>
      <c r="N10" s="2" cm="1">
        <f t="array" ref="N10">SUMPRODUCT(
  (B$4:B10=B10)*
  (E$4:E10="Depósito")*
  (F$4:F10&gt;=15000)*
  (F$4:F10&lt;=49999)*
  (D$4:D10&gt;=D10-5)*
  (D$4:D10&lt;=D10)
)</f>
        <v>0</v>
      </c>
      <c r="O10" s="2" cm="1">
        <f t="array" ref="O10">IF(AND(E10="Retiro",F10&gt;=40000,G10="Sucursal"),
  SUMPRODUCT(
    (B$4:B10=B10)*
    (E$4:E10="Depósito")*
    (F$4:F10&gt;=F10*0.8)*
    (D$4:D10&gt;=D10-3)*
    (D$4:D10&lt;D10)
  ),0)</f>
        <v>0</v>
      </c>
    </row>
    <row r="11" spans="1:15" ht="18" customHeight="1" x14ac:dyDescent="0.25">
      <c r="A11" s="59">
        <v>8</v>
      </c>
      <c r="B11" s="59">
        <v>30</v>
      </c>
      <c r="C11" s="55" t="s">
        <v>40</v>
      </c>
      <c r="D11" s="55" t="s">
        <v>505</v>
      </c>
      <c r="E11" s="55" t="s">
        <v>490</v>
      </c>
      <c r="F11" s="77">
        <v>10800</v>
      </c>
      <c r="G11" s="55" t="s">
        <v>494</v>
      </c>
      <c r="H11" s="55" t="s">
        <v>497</v>
      </c>
      <c r="I11" s="76">
        <f>VLOOKUP(B11,'Caso 2 (Socios)'!$A$4:$G$73,4,FALSE)</f>
        <v>10200</v>
      </c>
      <c r="J11" s="75" t="str">
        <f t="shared" si="0"/>
        <v>No</v>
      </c>
      <c r="K11" s="80" t="str">
        <f t="shared" si="1"/>
        <v>✔️</v>
      </c>
      <c r="L11" s="56" t="str">
        <f t="shared" si="2"/>
        <v>Normal</v>
      </c>
      <c r="N11" s="2" cm="1">
        <f t="array" ref="N11">SUMPRODUCT(
  (B$4:B11=B11)*
  (E$4:E11="Depósito")*
  (F$4:F11&gt;=15000)*
  (F$4:F11&lt;=49999)*
  (D$4:D11&gt;=D11-5)*
  (D$4:D11&lt;=D11)
)</f>
        <v>0</v>
      </c>
      <c r="O11" s="2" cm="1">
        <f t="array" ref="O11">IF(AND(E11="Retiro",F11&gt;=40000,G11="Sucursal"),
  SUMPRODUCT(
    (B$4:B11=B11)*
    (E$4:E11="Depósito")*
    (F$4:F11&gt;=F11*0.8)*
    (D$4:D11&gt;=D11-3)*
    (D$4:D11&lt;D11)
  ),0)</f>
        <v>0</v>
      </c>
    </row>
    <row r="12" spans="1:15" ht="18" customHeight="1" x14ac:dyDescent="0.25">
      <c r="A12" s="75">
        <v>9</v>
      </c>
      <c r="B12" s="75">
        <v>34</v>
      </c>
      <c r="C12" s="56" t="s">
        <v>43</v>
      </c>
      <c r="D12" s="56" t="s">
        <v>506</v>
      </c>
      <c r="E12" s="56" t="s">
        <v>490</v>
      </c>
      <c r="F12" s="76">
        <v>5900</v>
      </c>
      <c r="G12" s="56" t="s">
        <v>491</v>
      </c>
      <c r="H12" s="56" t="s">
        <v>507</v>
      </c>
      <c r="I12" s="76">
        <f>VLOOKUP(B12,'Caso 2 (Socios)'!$A$4:$G$73,4,FALSE)</f>
        <v>5500</v>
      </c>
      <c r="J12" s="75" t="str">
        <f t="shared" si="0"/>
        <v>No</v>
      </c>
      <c r="K12" s="80" t="str">
        <f t="shared" si="1"/>
        <v>✔️</v>
      </c>
      <c r="L12" s="56" t="str">
        <f t="shared" si="2"/>
        <v>Normal</v>
      </c>
      <c r="N12" s="2" cm="1">
        <f t="array" ref="N12">SUMPRODUCT(
  (B$4:B12=B12)*
  (E$4:E12="Depósito")*
  (F$4:F12&gt;=15000)*
  (F$4:F12&lt;=49999)*
  (D$4:D12&gt;=D12-5)*
  (D$4:D12&lt;=D12)
)</f>
        <v>0</v>
      </c>
      <c r="O12" s="2" cm="1">
        <f t="array" ref="O12">IF(AND(E12="Retiro",F12&gt;=40000,G12="Sucursal"),
  SUMPRODUCT(
    (B$4:B12=B12)*
    (E$4:E12="Depósito")*
    (F$4:F12&gt;=F12*0.8)*
    (D$4:D12&gt;=D12-3)*
    (D$4:D12&lt;D12)
  ),0)</f>
        <v>0</v>
      </c>
    </row>
    <row r="13" spans="1:15" ht="18" customHeight="1" x14ac:dyDescent="0.25">
      <c r="A13" s="59">
        <v>10</v>
      </c>
      <c r="B13" s="59">
        <v>38</v>
      </c>
      <c r="C13" s="55" t="s">
        <v>47</v>
      </c>
      <c r="D13" s="55" t="s">
        <v>508</v>
      </c>
      <c r="E13" s="55" t="s">
        <v>490</v>
      </c>
      <c r="F13" s="77">
        <v>9600</v>
      </c>
      <c r="G13" s="55" t="s">
        <v>494</v>
      </c>
      <c r="H13" s="55" t="s">
        <v>509</v>
      </c>
      <c r="I13" s="76">
        <f>VLOOKUP(B13,'Caso 2 (Socios)'!$A$4:$G$73,4,FALSE)</f>
        <v>9500</v>
      </c>
      <c r="J13" s="75" t="str">
        <f t="shared" si="0"/>
        <v>No</v>
      </c>
      <c r="K13" s="80" t="str">
        <f t="shared" si="1"/>
        <v>✔️</v>
      </c>
      <c r="L13" s="56" t="str">
        <f t="shared" si="2"/>
        <v>Normal</v>
      </c>
      <c r="N13" s="2" cm="1">
        <f t="array" ref="N13">SUMPRODUCT(
  (B$4:B13=B13)*
  (E$4:E13="Depósito")*
  (F$4:F13&gt;=15000)*
  (F$4:F13&lt;=49999)*
  (D$4:D13&gt;=D13-5)*
  (D$4:D13&lt;=D13)
)</f>
        <v>0</v>
      </c>
      <c r="O13" s="2" cm="1">
        <f t="array" ref="O13">IF(AND(E13="Retiro",F13&gt;=40000,G13="Sucursal"),
  SUMPRODUCT(
    (B$4:B13=B13)*
    (E$4:E13="Depósito")*
    (F$4:F13&gt;=F13*0.8)*
    (D$4:D13&gt;=D13-3)*
    (D$4:D13&lt;D13)
  ),0)</f>
        <v>0</v>
      </c>
    </row>
    <row r="14" spans="1:15" ht="18" customHeight="1" x14ac:dyDescent="0.25">
      <c r="A14" s="75">
        <v>11</v>
      </c>
      <c r="B14" s="75">
        <v>42</v>
      </c>
      <c r="C14" s="56" t="s">
        <v>51</v>
      </c>
      <c r="D14" s="56" t="s">
        <v>510</v>
      </c>
      <c r="E14" s="56" t="s">
        <v>490</v>
      </c>
      <c r="F14" s="76">
        <v>10900</v>
      </c>
      <c r="G14" s="56" t="s">
        <v>491</v>
      </c>
      <c r="H14" s="56" t="s">
        <v>511</v>
      </c>
      <c r="I14" s="76">
        <f>VLOOKUP(B14,'Caso 2 (Socios)'!$A$4:$G$73,4,FALSE)</f>
        <v>10800</v>
      </c>
      <c r="J14" s="75" t="str">
        <f t="shared" si="0"/>
        <v>No</v>
      </c>
      <c r="K14" s="80" t="str">
        <f t="shared" si="1"/>
        <v>✔️</v>
      </c>
      <c r="L14" s="56" t="str">
        <f t="shared" si="2"/>
        <v>Normal</v>
      </c>
      <c r="N14" s="2" cm="1">
        <f t="array" ref="N14">SUMPRODUCT(
  (B$4:B14=B14)*
  (E$4:E14="Depósito")*
  (F$4:F14&gt;=15000)*
  (F$4:F14&lt;=49999)*
  (D$4:D14&gt;=D14-5)*
  (D$4:D14&lt;=D14)
)</f>
        <v>0</v>
      </c>
      <c r="O14" s="2" cm="1">
        <f t="array" ref="O14">IF(AND(E14="Retiro",F14&gt;=40000,G14="Sucursal"),
  SUMPRODUCT(
    (B$4:B14=B14)*
    (E$4:E14="Depósito")*
    (F$4:F14&gt;=F14*0.8)*
    (D$4:D14&gt;=D14-3)*
    (D$4:D14&lt;D14)
  ),0)</f>
        <v>0</v>
      </c>
    </row>
    <row r="15" spans="1:15" ht="18" customHeight="1" x14ac:dyDescent="0.25">
      <c r="A15" s="59">
        <v>12</v>
      </c>
      <c r="B15" s="59">
        <v>46</v>
      </c>
      <c r="C15" s="55" t="s">
        <v>55</v>
      </c>
      <c r="D15" s="55" t="s">
        <v>512</v>
      </c>
      <c r="E15" s="55" t="s">
        <v>490</v>
      </c>
      <c r="F15" s="77">
        <v>6800</v>
      </c>
      <c r="G15" s="55" t="s">
        <v>494</v>
      </c>
      <c r="H15" s="55" t="s">
        <v>513</v>
      </c>
      <c r="I15" s="76">
        <f>VLOOKUP(B15,'Caso 2 (Socios)'!$A$4:$G$73,4,FALSE)</f>
        <v>6500</v>
      </c>
      <c r="J15" s="75" t="str">
        <f t="shared" si="0"/>
        <v>No</v>
      </c>
      <c r="K15" s="80" t="str">
        <f t="shared" si="1"/>
        <v>✔️</v>
      </c>
      <c r="L15" s="56" t="str">
        <f t="shared" si="2"/>
        <v>Normal</v>
      </c>
      <c r="N15" s="2" cm="1">
        <f t="array" ref="N15">SUMPRODUCT(
  (B$4:B15=B15)*
  (E$4:E15="Depósito")*
  (F$4:F15&gt;=15000)*
  (F$4:F15&lt;=49999)*
  (D$4:D15&gt;=D15-5)*
  (D$4:D15&lt;=D15)
)</f>
        <v>0</v>
      </c>
      <c r="O15" s="2" cm="1">
        <f t="array" ref="O15">IF(AND(E15="Retiro",F15&gt;=40000,G15="Sucursal"),
  SUMPRODUCT(
    (B$4:B15=B15)*
    (E$4:E15="Depósito")*
    (F$4:F15&gt;=F15*0.8)*
    (D$4:D15&gt;=D15-3)*
    (D$4:D15&lt;D15)
  ),0)</f>
        <v>0</v>
      </c>
    </row>
    <row r="16" spans="1:15" ht="18" customHeight="1" x14ac:dyDescent="0.25">
      <c r="A16" s="75">
        <v>13</v>
      </c>
      <c r="B16" s="75">
        <v>50</v>
      </c>
      <c r="C16" s="56" t="s">
        <v>59</v>
      </c>
      <c r="D16" s="56" t="s">
        <v>514</v>
      </c>
      <c r="E16" s="56" t="s">
        <v>490</v>
      </c>
      <c r="F16" s="76">
        <v>5300</v>
      </c>
      <c r="G16" s="56" t="s">
        <v>491</v>
      </c>
      <c r="H16" s="56" t="s">
        <v>513</v>
      </c>
      <c r="I16" s="76">
        <f>VLOOKUP(B16,'Caso 2 (Socios)'!$A$4:$G$73,4,FALSE)</f>
        <v>5000</v>
      </c>
      <c r="J16" s="75" t="str">
        <f t="shared" si="0"/>
        <v>No</v>
      </c>
      <c r="K16" s="80" t="str">
        <f t="shared" si="1"/>
        <v>✔️</v>
      </c>
      <c r="L16" s="56" t="str">
        <f t="shared" si="2"/>
        <v>Normal</v>
      </c>
      <c r="N16" s="2" cm="1">
        <f t="array" ref="N16">SUMPRODUCT(
  (B$4:B16=B16)*
  (E$4:E16="Depósito")*
  (F$4:F16&gt;=15000)*
  (F$4:F16&lt;=49999)*
  (D$4:D16&gt;=D16-5)*
  (D$4:D16&lt;=D16)
)</f>
        <v>0</v>
      </c>
      <c r="O16" s="2" cm="1">
        <f t="array" ref="O16">IF(AND(E16="Retiro",F16&gt;=40000,G16="Sucursal"),
  SUMPRODUCT(
    (B$4:B16=B16)*
    (E$4:E16="Depósito")*
    (F$4:F16&gt;=F16*0.8)*
    (D$4:D16&gt;=D16-3)*
    (D$4:D16&lt;D16)
  ),0)</f>
        <v>0</v>
      </c>
    </row>
    <row r="17" spans="1:15" ht="18" customHeight="1" x14ac:dyDescent="0.25">
      <c r="A17" s="59">
        <v>14</v>
      </c>
      <c r="B17" s="59">
        <v>52</v>
      </c>
      <c r="C17" s="55" t="s">
        <v>61</v>
      </c>
      <c r="D17" s="55" t="s">
        <v>515</v>
      </c>
      <c r="E17" s="55" t="s">
        <v>490</v>
      </c>
      <c r="F17" s="77">
        <v>11300</v>
      </c>
      <c r="G17" s="55" t="s">
        <v>494</v>
      </c>
      <c r="H17" s="55" t="s">
        <v>497</v>
      </c>
      <c r="I17" s="76">
        <f>VLOOKUP(B17,'Caso 2 (Socios)'!$A$4:$G$73,4,FALSE)</f>
        <v>11000</v>
      </c>
      <c r="J17" s="75" t="str">
        <f t="shared" si="0"/>
        <v>No</v>
      </c>
      <c r="K17" s="80" t="str">
        <f t="shared" si="1"/>
        <v>✔️</v>
      </c>
      <c r="L17" s="56" t="str">
        <f t="shared" si="2"/>
        <v>Normal</v>
      </c>
      <c r="N17" s="2" cm="1">
        <f t="array" ref="N17">SUMPRODUCT(
  (B$4:B17=B17)*
  (E$4:E17="Depósito")*
  (F$4:F17&gt;=15000)*
  (F$4:F17&lt;=49999)*
  (D$4:D17&gt;=D17-5)*
  (D$4:D17&lt;=D17)
)</f>
        <v>0</v>
      </c>
      <c r="O17" s="2" cm="1">
        <f t="array" ref="O17">IF(AND(E17="Retiro",F17&gt;=40000,G17="Sucursal"),
  SUMPRODUCT(
    (B$4:B17=B17)*
    (E$4:E17="Depósito")*
    (F$4:F17&gt;=F17*0.8)*
    (D$4:D17&gt;=D17-3)*
    (D$4:D17&lt;D17)
  ),0)</f>
        <v>0</v>
      </c>
    </row>
    <row r="18" spans="1:15" ht="18" customHeight="1" x14ac:dyDescent="0.25">
      <c r="A18" s="75">
        <v>15</v>
      </c>
      <c r="B18" s="75">
        <v>15</v>
      </c>
      <c r="C18" s="56" t="s">
        <v>25</v>
      </c>
      <c r="D18" s="56" t="s">
        <v>516</v>
      </c>
      <c r="E18" s="56" t="s">
        <v>490</v>
      </c>
      <c r="F18" s="76">
        <v>72000</v>
      </c>
      <c r="G18" s="56" t="s">
        <v>494</v>
      </c>
      <c r="H18" s="56" t="s">
        <v>517</v>
      </c>
      <c r="I18" s="76">
        <f>VLOOKUP(B18,'Caso 2 (Socios)'!$A$4:$G$73,4,FALSE)</f>
        <v>18000</v>
      </c>
      <c r="J18" s="75" t="str">
        <f t="shared" si="0"/>
        <v>Sí</v>
      </c>
      <c r="K18" s="80" t="str">
        <f t="shared" si="1"/>
        <v>⚠️</v>
      </c>
      <c r="L18" s="56" t="str">
        <f t="shared" si="2"/>
        <v>Monto alto + Inconsistencia</v>
      </c>
      <c r="N18" s="2" cm="1">
        <f t="array" ref="N18">SUMPRODUCT(
  (B$4:B18=B18)*
  (E$4:E18="Depósito")*
  (F$4:F18&gt;=15000)*
  (F$4:F18&lt;=49999)*
  (D$4:D18&gt;=D18-5)*
  (D$4:D18&lt;=D18)
)</f>
        <v>0</v>
      </c>
      <c r="O18" s="2" cm="1">
        <f t="array" ref="O18">IF(AND(E18="Retiro",F18&gt;=40000,G18="Sucursal"),
  SUMPRODUCT(
    (B$4:B18=B18)*
    (E$4:E18="Depósito")*
    (F$4:F18&gt;=F18*0.8)*
    (D$4:D18&gt;=D18-3)*
    (D$4:D18&lt;D18)
  ),0)</f>
        <v>0</v>
      </c>
    </row>
    <row r="19" spans="1:15" ht="18" customHeight="1" x14ac:dyDescent="0.25">
      <c r="A19" s="59">
        <v>16</v>
      </c>
      <c r="B19" s="59">
        <v>19</v>
      </c>
      <c r="C19" s="55" t="s">
        <v>29</v>
      </c>
      <c r="D19" s="55" t="s">
        <v>518</v>
      </c>
      <c r="E19" s="55" t="s">
        <v>490</v>
      </c>
      <c r="F19" s="77">
        <v>19800</v>
      </c>
      <c r="G19" s="55" t="s">
        <v>494</v>
      </c>
      <c r="H19" s="55" t="s">
        <v>519</v>
      </c>
      <c r="I19" s="76">
        <f>VLOOKUP(B19,'Caso 2 (Socios)'!$A$4:$G$73,4,FALSE)</f>
        <v>19000</v>
      </c>
      <c r="J19" s="75" t="str">
        <f t="shared" si="0"/>
        <v>No</v>
      </c>
      <c r="K19" s="80" t="str">
        <f t="shared" si="1"/>
        <v>✔️</v>
      </c>
      <c r="L19" s="56" t="str">
        <f t="shared" si="2"/>
        <v>Normal</v>
      </c>
      <c r="N19" s="2" cm="1">
        <f t="array" ref="N19">SUMPRODUCT(
  (B$4:B19=B19)*
  (E$4:E19="Depósito")*
  (F$4:F19&gt;=15000)*
  (F$4:F19&lt;=49999)*
  (D$4:D19&gt;=D19-5)*
  (D$4:D19&lt;=D19)
)</f>
        <v>1</v>
      </c>
      <c r="O19" s="2" cm="1">
        <f t="array" ref="O19">IF(AND(E19="Retiro",F19&gt;=40000,G19="Sucursal"),
  SUMPRODUCT(
    (B$4:B19=B19)*
    (E$4:E19="Depósito")*
    (F$4:F19&gt;=F19*0.8)*
    (D$4:D19&gt;=D19-3)*
    (D$4:D19&lt;D19)
  ),0)</f>
        <v>0</v>
      </c>
    </row>
    <row r="20" spans="1:15" ht="18" customHeight="1" x14ac:dyDescent="0.25">
      <c r="A20" s="75">
        <v>17</v>
      </c>
      <c r="B20" s="75">
        <v>22</v>
      </c>
      <c r="C20" s="56" t="s">
        <v>32</v>
      </c>
      <c r="D20" s="56" t="s">
        <v>520</v>
      </c>
      <c r="E20" s="56" t="s">
        <v>490</v>
      </c>
      <c r="F20" s="76">
        <v>14200</v>
      </c>
      <c r="G20" s="56" t="s">
        <v>491</v>
      </c>
      <c r="H20" s="56" t="s">
        <v>521</v>
      </c>
      <c r="I20" s="76">
        <f>VLOOKUP(B20,'Caso 2 (Socios)'!$A$4:$G$73,4,FALSE)</f>
        <v>14000</v>
      </c>
      <c r="J20" s="75" t="str">
        <f t="shared" si="0"/>
        <v>No</v>
      </c>
      <c r="K20" s="80" t="str">
        <f t="shared" si="1"/>
        <v>✔️</v>
      </c>
      <c r="L20" s="56" t="str">
        <f t="shared" si="2"/>
        <v>Normal</v>
      </c>
      <c r="N20" s="2" cm="1">
        <f t="array" ref="N20">SUMPRODUCT(
  (B$4:B20=B20)*
  (E$4:E20="Depósito")*
  (F$4:F20&gt;=15000)*
  (F$4:F20&lt;=49999)*
  (D$4:D20&gt;=D20-5)*
  (D$4:D20&lt;=D20)
)</f>
        <v>0</v>
      </c>
      <c r="O20" s="2" cm="1">
        <f t="array" ref="O20">IF(AND(E20="Retiro",F20&gt;=40000,G20="Sucursal"),
  SUMPRODUCT(
    (B$4:B20=B20)*
    (E$4:E20="Depósito")*
    (F$4:F20&gt;=F20*0.8)*
    (D$4:D20&gt;=D20-3)*
    (D$4:D20&lt;D20)
  ),0)</f>
        <v>0</v>
      </c>
    </row>
    <row r="21" spans="1:15" ht="18" customHeight="1" x14ac:dyDescent="0.25">
      <c r="A21" s="59">
        <v>18</v>
      </c>
      <c r="B21" s="59">
        <v>29</v>
      </c>
      <c r="C21" s="55" t="s">
        <v>39</v>
      </c>
      <c r="D21" s="55" t="s">
        <v>522</v>
      </c>
      <c r="E21" s="55" t="s">
        <v>490</v>
      </c>
      <c r="F21" s="77">
        <v>85000</v>
      </c>
      <c r="G21" s="55" t="s">
        <v>494</v>
      </c>
      <c r="H21" s="55" t="s">
        <v>517</v>
      </c>
      <c r="I21" s="76">
        <f>VLOOKUP(B21,'Caso 2 (Socios)'!$A$4:$G$73,4,FALSE)</f>
        <v>17500</v>
      </c>
      <c r="J21" s="75" t="str">
        <f t="shared" si="0"/>
        <v>Sí</v>
      </c>
      <c r="K21" s="80" t="str">
        <f t="shared" si="1"/>
        <v>⚠️</v>
      </c>
      <c r="L21" s="56" t="str">
        <f t="shared" si="2"/>
        <v>Monto alto + Inconsistencia</v>
      </c>
      <c r="N21" s="2" cm="1">
        <f t="array" ref="N21">SUMPRODUCT(
  (B$4:B21=B21)*
  (E$4:E21="Depósito")*
  (F$4:F21&gt;=15000)*
  (F$4:F21&lt;=49999)*
  (D$4:D21&gt;=D21-5)*
  (D$4:D21&lt;=D21)
)</f>
        <v>0</v>
      </c>
      <c r="O21" s="2" cm="1">
        <f t="array" ref="O21">IF(AND(E21="Retiro",F21&gt;=40000,G21="Sucursal"),
  SUMPRODUCT(
    (B$4:B21=B21)*
    (E$4:E21="Depósito")*
    (F$4:F21&gt;=F21*0.8)*
    (D$4:D21&gt;=D21-3)*
    (D$4:D21&lt;D21)
  ),0)</f>
        <v>0</v>
      </c>
    </row>
    <row r="22" spans="1:15" ht="18" customHeight="1" x14ac:dyDescent="0.25">
      <c r="A22" s="75">
        <v>19</v>
      </c>
      <c r="B22" s="75">
        <v>31</v>
      </c>
      <c r="C22" s="56" t="s">
        <v>41</v>
      </c>
      <c r="D22" s="56" t="s">
        <v>523</v>
      </c>
      <c r="E22" s="56" t="s">
        <v>490</v>
      </c>
      <c r="F22" s="76">
        <v>26000</v>
      </c>
      <c r="G22" s="56" t="s">
        <v>494</v>
      </c>
      <c r="H22" s="56" t="s">
        <v>524</v>
      </c>
      <c r="I22" s="76">
        <f>VLOOKUP(B22,'Caso 2 (Socios)'!$A$4:$G$73,4,FALSE)</f>
        <v>25000</v>
      </c>
      <c r="J22" s="75" t="str">
        <f t="shared" si="0"/>
        <v>No</v>
      </c>
      <c r="K22" s="80" t="str">
        <f t="shared" si="1"/>
        <v>✔️</v>
      </c>
      <c r="L22" s="56" t="str">
        <f t="shared" si="2"/>
        <v>Normal</v>
      </c>
      <c r="N22" s="2" cm="1">
        <f t="array" ref="N22">SUMPRODUCT(
  (B$4:B22=B22)*
  (E$4:E22="Depósito")*
  (F$4:F22&gt;=15000)*
  (F$4:F22&lt;=49999)*
  (D$4:D22&gt;=D22-5)*
  (D$4:D22&lt;=D22)
)</f>
        <v>1</v>
      </c>
      <c r="O22" s="2" cm="1">
        <f t="array" ref="O22">IF(AND(E22="Retiro",F22&gt;=40000,G22="Sucursal"),
  SUMPRODUCT(
    (B$4:B22=B22)*
    (E$4:E22="Depósito")*
    (F$4:F22&gt;=F22*0.8)*
    (D$4:D22&gt;=D22-3)*
    (D$4:D22&lt;D22)
  ),0)</f>
        <v>0</v>
      </c>
    </row>
    <row r="23" spans="1:15" ht="18" customHeight="1" x14ac:dyDescent="0.25">
      <c r="A23" s="59">
        <v>20</v>
      </c>
      <c r="B23" s="59">
        <v>36</v>
      </c>
      <c r="C23" s="55" t="s">
        <v>45</v>
      </c>
      <c r="D23" s="55" t="s">
        <v>525</v>
      </c>
      <c r="E23" s="55" t="s">
        <v>490</v>
      </c>
      <c r="F23" s="77">
        <v>15300</v>
      </c>
      <c r="G23" s="55" t="s">
        <v>491</v>
      </c>
      <c r="H23" s="55" t="s">
        <v>497</v>
      </c>
      <c r="I23" s="76">
        <f>VLOOKUP(B23,'Caso 2 (Socios)'!$A$4:$G$73,4,FALSE)</f>
        <v>15000</v>
      </c>
      <c r="J23" s="75" t="str">
        <f t="shared" si="0"/>
        <v>No</v>
      </c>
      <c r="K23" s="80" t="str">
        <f t="shared" si="1"/>
        <v>✔️</v>
      </c>
      <c r="L23" s="56" t="str">
        <f t="shared" si="2"/>
        <v>Normal</v>
      </c>
      <c r="N23" s="2" cm="1">
        <f t="array" ref="N23">SUMPRODUCT(
  (B$4:B23=B23)*
  (E$4:E23="Depósito")*
  (F$4:F23&gt;=15000)*
  (F$4:F23&lt;=49999)*
  (D$4:D23&gt;=D23-5)*
  (D$4:D23&lt;=D23)
)</f>
        <v>1</v>
      </c>
      <c r="O23" s="2" cm="1">
        <f t="array" ref="O23">IF(AND(E23="Retiro",F23&gt;=40000,G23="Sucursal"),
  SUMPRODUCT(
    (B$4:B23=B23)*
    (E$4:E23="Depósito")*
    (F$4:F23&gt;=F23*0.8)*
    (D$4:D23&gt;=D23-3)*
    (D$4:D23&lt;D23)
  ),0)</f>
        <v>0</v>
      </c>
    </row>
    <row r="24" spans="1:15" ht="18" customHeight="1" x14ac:dyDescent="0.25">
      <c r="A24" s="75">
        <v>21</v>
      </c>
      <c r="B24" s="75">
        <v>40</v>
      </c>
      <c r="C24" s="56" t="s">
        <v>49</v>
      </c>
      <c r="D24" s="56" t="s">
        <v>526</v>
      </c>
      <c r="E24" s="56" t="s">
        <v>490</v>
      </c>
      <c r="F24" s="76">
        <v>11800</v>
      </c>
      <c r="G24" s="56" t="s">
        <v>494</v>
      </c>
      <c r="H24" s="56" t="s">
        <v>527</v>
      </c>
      <c r="I24" s="76">
        <f>VLOOKUP(B24,'Caso 2 (Socios)'!$A$4:$G$73,4,FALSE)</f>
        <v>11200</v>
      </c>
      <c r="J24" s="75" t="str">
        <f t="shared" si="0"/>
        <v>No</v>
      </c>
      <c r="K24" s="80" t="str">
        <f t="shared" si="1"/>
        <v>✔️</v>
      </c>
      <c r="L24" s="56" t="str">
        <f t="shared" si="2"/>
        <v>Normal</v>
      </c>
      <c r="N24" s="2" cm="1">
        <f t="array" ref="N24">SUMPRODUCT(
  (B$4:B24=B24)*
  (E$4:E24="Depósito")*
  (F$4:F24&gt;=15000)*
  (F$4:F24&lt;=49999)*
  (D$4:D24&gt;=D24-5)*
  (D$4:D24&lt;=D24)
)</f>
        <v>0</v>
      </c>
      <c r="O24" s="2" cm="1">
        <f t="array" ref="O24">IF(AND(E24="Retiro",F24&gt;=40000,G24="Sucursal"),
  SUMPRODUCT(
    (B$4:B24=B24)*
    (E$4:E24="Depósito")*
    (F$4:F24&gt;=F24*0.8)*
    (D$4:D24&gt;=D24-3)*
    (D$4:D24&lt;D24)
  ),0)</f>
        <v>0</v>
      </c>
    </row>
    <row r="25" spans="1:15" ht="18" customHeight="1" x14ac:dyDescent="0.25">
      <c r="A25" s="59">
        <v>22</v>
      </c>
      <c r="B25" s="59">
        <v>44</v>
      </c>
      <c r="C25" s="55" t="s">
        <v>53</v>
      </c>
      <c r="D25" s="55" t="s">
        <v>528</v>
      </c>
      <c r="E25" s="55" t="s">
        <v>490</v>
      </c>
      <c r="F25" s="77">
        <v>14900</v>
      </c>
      <c r="G25" s="55" t="s">
        <v>494</v>
      </c>
      <c r="H25" s="55" t="s">
        <v>529</v>
      </c>
      <c r="I25" s="76">
        <f>VLOOKUP(B25,'Caso 2 (Socios)'!$A$4:$G$73,4,FALSE)</f>
        <v>14200</v>
      </c>
      <c r="J25" s="75" t="str">
        <f t="shared" si="0"/>
        <v>No</v>
      </c>
      <c r="K25" s="80" t="str">
        <f t="shared" si="1"/>
        <v>✔️</v>
      </c>
      <c r="L25" s="56" t="str">
        <f t="shared" si="2"/>
        <v>Normal</v>
      </c>
      <c r="N25" s="2" cm="1">
        <f t="array" ref="N25">SUMPRODUCT(
  (B$4:B25=B25)*
  (E$4:E25="Depósito")*
  (F$4:F25&gt;=15000)*
  (F$4:F25&lt;=49999)*
  (D$4:D25&gt;=D25-5)*
  (D$4:D25&lt;=D25)
)</f>
        <v>0</v>
      </c>
      <c r="O25" s="2" cm="1">
        <f t="array" ref="O25">IF(AND(E25="Retiro",F25&gt;=40000,G25="Sucursal"),
  SUMPRODUCT(
    (B$4:B25=B25)*
    (E$4:E25="Depósito")*
    (F$4:F25&gt;=F25*0.8)*
    (D$4:D25&gt;=D25-3)*
    (D$4:D25&lt;D25)
  ),0)</f>
        <v>0</v>
      </c>
    </row>
    <row r="26" spans="1:15" ht="18" customHeight="1" x14ac:dyDescent="0.25">
      <c r="A26" s="75">
        <v>23</v>
      </c>
      <c r="B26" s="75">
        <v>48</v>
      </c>
      <c r="C26" s="56" t="s">
        <v>57</v>
      </c>
      <c r="D26" s="56" t="s">
        <v>530</v>
      </c>
      <c r="E26" s="56" t="s">
        <v>490</v>
      </c>
      <c r="F26" s="76">
        <v>13700</v>
      </c>
      <c r="G26" s="56" t="s">
        <v>491</v>
      </c>
      <c r="H26" s="56" t="s">
        <v>497</v>
      </c>
      <c r="I26" s="76">
        <f>VLOOKUP(B26,'Caso 2 (Socios)'!$A$4:$G$73,4,FALSE)</f>
        <v>13800</v>
      </c>
      <c r="J26" s="75" t="str">
        <f t="shared" si="0"/>
        <v>No</v>
      </c>
      <c r="K26" s="80" t="str">
        <f t="shared" si="1"/>
        <v>✔️</v>
      </c>
      <c r="L26" s="56" t="str">
        <f t="shared" si="2"/>
        <v>Normal</v>
      </c>
      <c r="N26" s="2" cm="1">
        <f t="array" ref="N26">SUMPRODUCT(
  (B$4:B26=B26)*
  (E$4:E26="Depósito")*
  (F$4:F26&gt;=15000)*
  (F$4:F26&lt;=49999)*
  (D$4:D26&gt;=D26-5)*
  (D$4:D26&lt;=D26)
)</f>
        <v>0</v>
      </c>
      <c r="O26" s="2" cm="1">
        <f t="array" ref="O26">IF(AND(E26="Retiro",F26&gt;=40000,G26="Sucursal"),
  SUMPRODUCT(
    (B$4:B26=B26)*
    (E$4:E26="Depósito")*
    (F$4:F26&gt;=F26*0.8)*
    (D$4:D26&gt;=D26-3)*
    (D$4:D26&lt;D26)
  ),0)</f>
        <v>0</v>
      </c>
    </row>
    <row r="27" spans="1:15" ht="18" customHeight="1" x14ac:dyDescent="0.25">
      <c r="A27" s="59">
        <v>24</v>
      </c>
      <c r="B27" s="59">
        <v>51</v>
      </c>
      <c r="C27" s="55" t="s">
        <v>60</v>
      </c>
      <c r="D27" s="55" t="s">
        <v>531</v>
      </c>
      <c r="E27" s="55" t="s">
        <v>490</v>
      </c>
      <c r="F27" s="77">
        <v>49000</v>
      </c>
      <c r="G27" s="55" t="s">
        <v>494</v>
      </c>
      <c r="H27" s="55" t="s">
        <v>532</v>
      </c>
      <c r="I27" s="76">
        <f>VLOOKUP(B27,'Caso 2 (Socios)'!$A$4:$G$73,4,FALSE)</f>
        <v>10900</v>
      </c>
      <c r="J27" s="75" t="str">
        <f t="shared" si="0"/>
        <v>Sí</v>
      </c>
      <c r="K27" s="80" t="str">
        <f t="shared" si="1"/>
        <v>⚠️</v>
      </c>
      <c r="L27" s="56" t="str">
        <f t="shared" si="2"/>
        <v>Inconsistencia de perfil</v>
      </c>
      <c r="N27" s="2" cm="1">
        <f t="array" ref="N27">SUMPRODUCT(
  (B$4:B27=B27)*
  (E$4:E27="Depósito")*
  (F$4:F27&gt;=15000)*
  (F$4:F27&lt;=49999)*
  (D$4:D27&gt;=D27-5)*
  (D$4:D27&lt;=D27)
)</f>
        <v>1</v>
      </c>
      <c r="O27" s="2" cm="1">
        <f t="array" ref="O27">IF(AND(E27="Retiro",F27&gt;=40000,G27="Sucursal"),
  SUMPRODUCT(
    (B$4:B27=B27)*
    (E$4:E27="Depósito")*
    (F$4:F27&gt;=F27*0.8)*
    (D$4:D27&gt;=D27-3)*
    (D$4:D27&lt;D27)
  ),0)</f>
        <v>0</v>
      </c>
    </row>
    <row r="28" spans="1:15" ht="18" customHeight="1" x14ac:dyDescent="0.25">
      <c r="A28" s="75">
        <v>25</v>
      </c>
      <c r="B28" s="75">
        <v>51</v>
      </c>
      <c r="C28" s="56" t="s">
        <v>60</v>
      </c>
      <c r="D28" s="56" t="s">
        <v>533</v>
      </c>
      <c r="E28" s="56" t="s">
        <v>490</v>
      </c>
      <c r="F28" s="76">
        <v>48500</v>
      </c>
      <c r="G28" s="56" t="s">
        <v>494</v>
      </c>
      <c r="H28" s="56" t="s">
        <v>532</v>
      </c>
      <c r="I28" s="76">
        <f>VLOOKUP(B28,'Caso 2 (Socios)'!$A$4:$G$73,4,FALSE)</f>
        <v>10900</v>
      </c>
      <c r="J28" s="75" t="str">
        <f t="shared" si="0"/>
        <v>Sí</v>
      </c>
      <c r="K28" s="80" t="str">
        <f t="shared" si="1"/>
        <v>⚠️</v>
      </c>
      <c r="L28" s="56" t="str">
        <f t="shared" si="2"/>
        <v>Inconsistencia de perfil</v>
      </c>
      <c r="N28" s="2" cm="1">
        <f t="array" ref="N28">SUMPRODUCT(
  (B$4:B28=B28)*
  (E$4:E28="Depósito")*
  (F$4:F28&gt;=15000)*
  (F$4:F28&lt;=49999)*
  (D$4:D28&gt;=D28-5)*
  (D$4:D28&lt;=D28)
)</f>
        <v>2</v>
      </c>
      <c r="O28" s="2" cm="1">
        <f t="array" ref="O28">IF(AND(E28="Retiro",F28&gt;=40000,G28="Sucursal"),
  SUMPRODUCT(
    (B$4:B28=B28)*
    (E$4:E28="Depósito")*
    (F$4:F28&gt;=F28*0.8)*
    (D$4:D28&gt;=D28-3)*
    (D$4:D28&lt;D28)
  ),0)</f>
        <v>0</v>
      </c>
    </row>
    <row r="29" spans="1:15" ht="18" customHeight="1" x14ac:dyDescent="0.25">
      <c r="A29" s="59">
        <v>26</v>
      </c>
      <c r="B29" s="59">
        <v>53</v>
      </c>
      <c r="C29" s="55" t="s">
        <v>62</v>
      </c>
      <c r="D29" s="55" t="s">
        <v>534</v>
      </c>
      <c r="E29" s="55" t="s">
        <v>490</v>
      </c>
      <c r="F29" s="77">
        <v>19500</v>
      </c>
      <c r="G29" s="55" t="s">
        <v>494</v>
      </c>
      <c r="H29" s="55" t="s">
        <v>517</v>
      </c>
      <c r="I29" s="76">
        <f>VLOOKUP(B29,'Caso 2 (Socios)'!$A$4:$G$73,4,FALSE)</f>
        <v>19500</v>
      </c>
      <c r="J29" s="75" t="str">
        <f t="shared" si="0"/>
        <v>No</v>
      </c>
      <c r="K29" s="80" t="str">
        <f t="shared" si="1"/>
        <v>✔️</v>
      </c>
      <c r="L29" s="56" t="str">
        <f t="shared" si="2"/>
        <v>Normal</v>
      </c>
      <c r="N29" s="2" cm="1">
        <f t="array" ref="N29">SUMPRODUCT(
  (B$4:B29=B29)*
  (E$4:E29="Depósito")*
  (F$4:F29&gt;=15000)*
  (F$4:F29&lt;=49999)*
  (D$4:D29&gt;=D29-5)*
  (D$4:D29&lt;=D29)
)</f>
        <v>1</v>
      </c>
      <c r="O29" s="2" cm="1">
        <f t="array" ref="O29">IF(AND(E29="Retiro",F29&gt;=40000,G29="Sucursal"),
  SUMPRODUCT(
    (B$4:B29=B29)*
    (E$4:E29="Depósito")*
    (F$4:F29&gt;=F29*0.8)*
    (D$4:D29&gt;=D29-3)*
    (D$4:D29&lt;D29)
  ),0)</f>
        <v>0</v>
      </c>
    </row>
    <row r="30" spans="1:15" ht="18" customHeight="1" x14ac:dyDescent="0.25">
      <c r="A30" s="75">
        <v>27</v>
      </c>
      <c r="B30" s="75">
        <v>57</v>
      </c>
      <c r="C30" s="56" t="s">
        <v>469</v>
      </c>
      <c r="D30" s="56" t="s">
        <v>535</v>
      </c>
      <c r="E30" s="56" t="s">
        <v>490</v>
      </c>
      <c r="F30" s="76">
        <v>5100</v>
      </c>
      <c r="G30" s="56" t="s">
        <v>491</v>
      </c>
      <c r="H30" s="56" t="s">
        <v>513</v>
      </c>
      <c r="I30" s="76">
        <f>VLOOKUP(B30,'Caso 2 (Socios)'!$A$4:$G$73,4,FALSE)</f>
        <v>4500</v>
      </c>
      <c r="J30" s="75" t="str">
        <f t="shared" si="0"/>
        <v>No</v>
      </c>
      <c r="K30" s="80" t="str">
        <f t="shared" si="1"/>
        <v>✔️</v>
      </c>
      <c r="L30" s="56" t="str">
        <f t="shared" si="2"/>
        <v>Normal</v>
      </c>
      <c r="N30" s="2" cm="1">
        <f t="array" ref="N30">SUMPRODUCT(
  (B$4:B30=B30)*
  (E$4:E30="Depósito")*
  (F$4:F30&gt;=15000)*
  (F$4:F30&lt;=49999)*
  (D$4:D30&gt;=D30-5)*
  (D$4:D30&lt;=D30)
)</f>
        <v>0</v>
      </c>
      <c r="O30" s="2" cm="1">
        <f t="array" ref="O30">IF(AND(E30="Retiro",F30&gt;=40000,G30="Sucursal"),
  SUMPRODUCT(
    (B$4:B30=B30)*
    (E$4:E30="Depósito")*
    (F$4:F30&gt;=F30*0.8)*
    (D$4:D30&gt;=D30-3)*
    (D$4:D30&lt;D30)
  ),0)</f>
        <v>0</v>
      </c>
    </row>
    <row r="31" spans="1:15" ht="18" customHeight="1" x14ac:dyDescent="0.25">
      <c r="A31" s="59">
        <v>28</v>
      </c>
      <c r="B31" s="59">
        <v>59</v>
      </c>
      <c r="C31" s="55" t="s">
        <v>471</v>
      </c>
      <c r="D31" s="55" t="s">
        <v>536</v>
      </c>
      <c r="E31" s="55" t="s">
        <v>490</v>
      </c>
      <c r="F31" s="77">
        <v>6400</v>
      </c>
      <c r="G31" s="55" t="s">
        <v>494</v>
      </c>
      <c r="H31" s="55" t="s">
        <v>513</v>
      </c>
      <c r="I31" s="76">
        <f>VLOOKUP(B31,'Caso 2 (Socios)'!$A$4:$G$73,4,FALSE)</f>
        <v>6000</v>
      </c>
      <c r="J31" s="75" t="str">
        <f t="shared" si="0"/>
        <v>No</v>
      </c>
      <c r="K31" s="80" t="str">
        <f t="shared" si="1"/>
        <v>✔️</v>
      </c>
      <c r="L31" s="56" t="str">
        <f t="shared" si="2"/>
        <v>Normal</v>
      </c>
      <c r="N31" s="2" cm="1">
        <f t="array" ref="N31">SUMPRODUCT(
  (B$4:B31=B31)*
  (E$4:E31="Depósito")*
  (F$4:F31&gt;=15000)*
  (F$4:F31&lt;=49999)*
  (D$4:D31&gt;=D31-5)*
  (D$4:D31&lt;=D31)
)</f>
        <v>0</v>
      </c>
      <c r="O31" s="2" cm="1">
        <f t="array" ref="O31">IF(AND(E31="Retiro",F31&gt;=40000,G31="Sucursal"),
  SUMPRODUCT(
    (B$4:B31=B31)*
    (E$4:E31="Depósito")*
    (F$4:F31&gt;=F31*0.8)*
    (D$4:D31&gt;=D31-3)*
    (D$4:D31&lt;D31)
  ),0)</f>
        <v>0</v>
      </c>
    </row>
    <row r="32" spans="1:15" ht="18" customHeight="1" x14ac:dyDescent="0.25">
      <c r="A32" s="75">
        <v>29</v>
      </c>
      <c r="B32" s="75">
        <v>12</v>
      </c>
      <c r="C32" s="56" t="s">
        <v>22</v>
      </c>
      <c r="D32" s="56" t="s">
        <v>537</v>
      </c>
      <c r="E32" s="56" t="s">
        <v>490</v>
      </c>
      <c r="F32" s="76">
        <v>98000</v>
      </c>
      <c r="G32" s="56" t="s">
        <v>494</v>
      </c>
      <c r="H32" s="56" t="s">
        <v>538</v>
      </c>
      <c r="I32" s="76">
        <f>VLOOKUP(B32,'Caso 2 (Socios)'!$A$4:$G$73,4,FALSE)</f>
        <v>14500</v>
      </c>
      <c r="J32" s="75" t="str">
        <f t="shared" si="0"/>
        <v>Sí</v>
      </c>
      <c r="K32" s="80" t="str">
        <f t="shared" si="1"/>
        <v>⚠️</v>
      </c>
      <c r="L32" s="56" t="str">
        <f t="shared" si="2"/>
        <v>Monto alto + Inconsistencia</v>
      </c>
      <c r="N32" s="2" cm="1">
        <f t="array" ref="N32">SUMPRODUCT(
  (B$4:B32=B32)*
  (E$4:E32="Depósito")*
  (F$4:F32&gt;=15000)*
  (F$4:F32&lt;=49999)*
  (D$4:D32&gt;=D32-5)*
  (D$4:D32&lt;=D32)
)</f>
        <v>0</v>
      </c>
      <c r="O32" s="2" cm="1">
        <f t="array" ref="O32">IF(AND(E32="Retiro",F32&gt;=40000,G32="Sucursal"),
  SUMPRODUCT(
    (B$4:B32=B32)*
    (E$4:E32="Depósito")*
    (F$4:F32&gt;=F32*0.8)*
    (D$4:D32&gt;=D32-3)*
    (D$4:D32&lt;D32)
  ),0)</f>
        <v>0</v>
      </c>
    </row>
    <row r="33" spans="1:15" ht="18" customHeight="1" x14ac:dyDescent="0.25">
      <c r="A33" s="59">
        <v>30</v>
      </c>
      <c r="B33" s="59">
        <v>16</v>
      </c>
      <c r="C33" s="55" t="s">
        <v>26</v>
      </c>
      <c r="D33" s="55" t="s">
        <v>539</v>
      </c>
      <c r="E33" s="55" t="s">
        <v>490</v>
      </c>
      <c r="F33" s="77">
        <v>12600</v>
      </c>
      <c r="G33" s="55" t="s">
        <v>491</v>
      </c>
      <c r="H33" s="55" t="s">
        <v>497</v>
      </c>
      <c r="I33" s="76">
        <f>VLOOKUP(B33,'Caso 2 (Socios)'!$A$4:$G$73,4,FALSE)</f>
        <v>12500</v>
      </c>
      <c r="J33" s="75" t="str">
        <f t="shared" si="0"/>
        <v>No</v>
      </c>
      <c r="K33" s="80" t="str">
        <f t="shared" si="1"/>
        <v>✔️</v>
      </c>
      <c r="L33" s="56" t="str">
        <f t="shared" si="2"/>
        <v>Normal</v>
      </c>
      <c r="N33" s="2" cm="1">
        <f t="array" ref="N33">SUMPRODUCT(
  (B$4:B33=B33)*
  (E$4:E33="Depósito")*
  (F$4:F33&gt;=15000)*
  (F$4:F33&lt;=49999)*
  (D$4:D33&gt;=D33-5)*
  (D$4:D33&lt;=D33)
)</f>
        <v>0</v>
      </c>
      <c r="O33" s="2" cm="1">
        <f t="array" ref="O33">IF(AND(E33="Retiro",F33&gt;=40000,G33="Sucursal"),
  SUMPRODUCT(
    (B$4:B33=B33)*
    (E$4:E33="Depósito")*
    (F$4:F33&gt;=F33*0.8)*
    (D$4:D33&gt;=D33-3)*
    (D$4:D33&lt;D33)
  ),0)</f>
        <v>0</v>
      </c>
    </row>
    <row r="34" spans="1:15" ht="18" customHeight="1" x14ac:dyDescent="0.25">
      <c r="A34" s="75">
        <v>31</v>
      </c>
      <c r="B34" s="75">
        <v>21</v>
      </c>
      <c r="C34" s="56" t="s">
        <v>31</v>
      </c>
      <c r="D34" s="56" t="s">
        <v>540</v>
      </c>
      <c r="E34" s="56" t="s">
        <v>490</v>
      </c>
      <c r="F34" s="76">
        <v>62000</v>
      </c>
      <c r="G34" s="56" t="s">
        <v>494</v>
      </c>
      <c r="H34" s="56" t="s">
        <v>541</v>
      </c>
      <c r="I34" s="76">
        <f>VLOOKUP(B34,'Caso 2 (Socios)'!$A$4:$G$73,4,FALSE)</f>
        <v>10500</v>
      </c>
      <c r="J34" s="75" t="str">
        <f t="shared" si="0"/>
        <v>Sí</v>
      </c>
      <c r="K34" s="80" t="str">
        <f t="shared" si="1"/>
        <v>⚠️</v>
      </c>
      <c r="L34" s="56" t="str">
        <f t="shared" si="2"/>
        <v>Monto alto + Inconsistencia</v>
      </c>
      <c r="N34" s="2" cm="1">
        <f t="array" ref="N34">SUMPRODUCT(
  (B$4:B34=B34)*
  (E$4:E34="Depósito")*
  (F$4:F34&gt;=15000)*
  (F$4:F34&lt;=49999)*
  (D$4:D34&gt;=D34-5)*
  (D$4:D34&lt;=D34)
)</f>
        <v>0</v>
      </c>
      <c r="O34" s="2" cm="1">
        <f t="array" ref="O34">IF(AND(E34="Retiro",F34&gt;=40000,G34="Sucursal"),
  SUMPRODUCT(
    (B$4:B34=B34)*
    (E$4:E34="Depósito")*
    (F$4:F34&gt;=F34*0.8)*
    (D$4:D34&gt;=D34-3)*
    (D$4:D34&lt;D34)
  ),0)</f>
        <v>0</v>
      </c>
    </row>
    <row r="35" spans="1:15" ht="18" customHeight="1" x14ac:dyDescent="0.25">
      <c r="A35" s="59">
        <v>32</v>
      </c>
      <c r="B35" s="59">
        <v>24</v>
      </c>
      <c r="C35" s="55" t="s">
        <v>34</v>
      </c>
      <c r="D35" s="55" t="s">
        <v>542</v>
      </c>
      <c r="E35" s="55" t="s">
        <v>490</v>
      </c>
      <c r="F35" s="77">
        <v>4700</v>
      </c>
      <c r="G35" s="55" t="s">
        <v>491</v>
      </c>
      <c r="H35" s="55" t="s">
        <v>513</v>
      </c>
      <c r="I35" s="76">
        <f>VLOOKUP(B35,'Caso 2 (Socios)'!$A$4:$G$73,4,FALSE)</f>
        <v>4500</v>
      </c>
      <c r="J35" s="75" t="str">
        <f t="shared" si="0"/>
        <v>No</v>
      </c>
      <c r="K35" s="80" t="str">
        <f t="shared" si="1"/>
        <v>✔️</v>
      </c>
      <c r="L35" s="56" t="str">
        <f t="shared" si="2"/>
        <v>Normal</v>
      </c>
      <c r="N35" s="2" cm="1">
        <f t="array" ref="N35">SUMPRODUCT(
  (B$4:B35=B35)*
  (E$4:E35="Depósito")*
  (F$4:F35&gt;=15000)*
  (F$4:F35&lt;=49999)*
  (D$4:D35&gt;=D35-5)*
  (D$4:D35&lt;=D35)
)</f>
        <v>0</v>
      </c>
      <c r="O35" s="2" cm="1">
        <f t="array" ref="O35">IF(AND(E35="Retiro",F35&gt;=40000,G35="Sucursal"),
  SUMPRODUCT(
    (B$4:B35=B35)*
    (E$4:E35="Depósito")*
    (F$4:F35&gt;=F35*0.8)*
    (D$4:D35&gt;=D35-3)*
    (D$4:D35&lt;D35)
  ),0)</f>
        <v>0</v>
      </c>
    </row>
    <row r="36" spans="1:15" ht="18" customHeight="1" x14ac:dyDescent="0.25">
      <c r="A36" s="75">
        <v>33</v>
      </c>
      <c r="B36" s="75">
        <v>28</v>
      </c>
      <c r="C36" s="56" t="s">
        <v>38</v>
      </c>
      <c r="D36" s="56" t="s">
        <v>543</v>
      </c>
      <c r="E36" s="56" t="s">
        <v>490</v>
      </c>
      <c r="F36" s="76">
        <v>23500</v>
      </c>
      <c r="G36" s="56" t="s">
        <v>494</v>
      </c>
      <c r="H36" s="56" t="s">
        <v>544</v>
      </c>
      <c r="I36" s="76">
        <f>VLOOKUP(B36,'Caso 2 (Socios)'!$A$4:$G$73,4,FALSE)</f>
        <v>23000</v>
      </c>
      <c r="J36" s="75" t="str">
        <f t="shared" si="0"/>
        <v>No</v>
      </c>
      <c r="K36" s="80" t="str">
        <f t="shared" si="1"/>
        <v>✔️</v>
      </c>
      <c r="L36" s="56" t="str">
        <f t="shared" si="2"/>
        <v>Normal</v>
      </c>
      <c r="N36" s="2" cm="1">
        <f t="array" ref="N36">SUMPRODUCT(
  (B$4:B36=B36)*
  (E$4:E36="Depósito")*
  (F$4:F36&gt;=15000)*
  (F$4:F36&lt;=49999)*
  (D$4:D36&gt;=D36-5)*
  (D$4:D36&lt;=D36)
)</f>
        <v>1</v>
      </c>
      <c r="O36" s="2" cm="1">
        <f t="array" ref="O36">IF(AND(E36="Retiro",F36&gt;=40000,G36="Sucursal"),
  SUMPRODUCT(
    (B$4:B36=B36)*
    (E$4:E36="Depósito")*
    (F$4:F36&gt;=F36*0.8)*
    (D$4:D36&gt;=D36-3)*
    (D$4:D36&lt;D36)
  ),0)</f>
        <v>0</v>
      </c>
    </row>
    <row r="37" spans="1:15" ht="18" customHeight="1" x14ac:dyDescent="0.25">
      <c r="A37" s="59">
        <v>34</v>
      </c>
      <c r="B37" s="59">
        <v>32</v>
      </c>
      <c r="C37" s="55" t="s">
        <v>11</v>
      </c>
      <c r="D37" s="55" t="s">
        <v>545</v>
      </c>
      <c r="E37" s="55" t="s">
        <v>490</v>
      </c>
      <c r="F37" s="77">
        <v>12900</v>
      </c>
      <c r="G37" s="55" t="s">
        <v>494</v>
      </c>
      <c r="H37" s="55" t="s">
        <v>546</v>
      </c>
      <c r="I37" s="76">
        <f>VLOOKUP(B37,'Caso 2 (Socios)'!$A$4:$G$73,4,FALSE)</f>
        <v>12800</v>
      </c>
      <c r="J37" s="75" t="str">
        <f t="shared" si="0"/>
        <v>No</v>
      </c>
      <c r="K37" s="80" t="str">
        <f t="shared" si="1"/>
        <v>✔️</v>
      </c>
      <c r="L37" s="56" t="str">
        <f t="shared" si="2"/>
        <v>Normal</v>
      </c>
      <c r="N37" s="2" cm="1">
        <f t="array" ref="N37">SUMPRODUCT(
  (B$4:B37=B37)*
  (E$4:E37="Depósito")*
  (F$4:F37&gt;=15000)*
  (F$4:F37&lt;=49999)*
  (D$4:D37&gt;=D37-5)*
  (D$4:D37&lt;=D37)
)</f>
        <v>0</v>
      </c>
      <c r="O37" s="2" cm="1">
        <f t="array" ref="O37">IF(AND(E37="Retiro",F37&gt;=40000,G37="Sucursal"),
  SUMPRODUCT(
    (B$4:B37=B37)*
    (E$4:E37="Depósito")*
    (F$4:F37&gt;=F37*0.8)*
    (D$4:D37&gt;=D37-3)*
    (D$4:D37&lt;D37)
  ),0)</f>
        <v>0</v>
      </c>
    </row>
    <row r="38" spans="1:15" ht="18" customHeight="1" x14ac:dyDescent="0.25">
      <c r="A38" s="75">
        <v>35</v>
      </c>
      <c r="B38" s="75">
        <v>39</v>
      </c>
      <c r="C38" s="56" t="s">
        <v>48</v>
      </c>
      <c r="D38" s="56" t="s">
        <v>547</v>
      </c>
      <c r="E38" s="56" t="s">
        <v>548</v>
      </c>
      <c r="F38" s="76">
        <v>65000</v>
      </c>
      <c r="G38" s="56" t="s">
        <v>494</v>
      </c>
      <c r="H38" s="56" t="s">
        <v>549</v>
      </c>
      <c r="I38" s="76">
        <f>VLOOKUP(B38,'Caso 2 (Socios)'!$A$4:$G$73,4,FALSE)</f>
        <v>13500</v>
      </c>
      <c r="J38" s="75" t="str">
        <f t="shared" si="0"/>
        <v>Sí</v>
      </c>
      <c r="K38" s="80" t="str">
        <f t="shared" si="1"/>
        <v>⚠️</v>
      </c>
      <c r="L38" s="56" t="str">
        <f t="shared" si="2"/>
        <v>Monto alto + Inconsistencia</v>
      </c>
      <c r="N38" s="2" cm="1">
        <f t="array" ref="N38">SUMPRODUCT(
  (B$4:B38=B38)*
  (E$4:E38="Depósito")*
  (F$4:F38&gt;=15000)*
  (F$4:F38&lt;=49999)*
  (D$4:D38&gt;=D38-5)*
  (D$4:D38&lt;=D38)
)</f>
        <v>0</v>
      </c>
      <c r="O38" s="2" cm="1">
        <f t="array" ref="O38">IF(AND(E38="Retiro",F38&gt;=40000,G38="Sucursal"),
  SUMPRODUCT(
    (B$4:B38=B38)*
    (E$4:E38="Depósito")*
    (F$4:F38&gt;=F38*0.8)*
    (D$4:D38&gt;=D38-3)*
    (D$4:D38&lt;D38)
  ),0)</f>
        <v>0</v>
      </c>
    </row>
    <row r="39" spans="1:15" ht="18" customHeight="1" x14ac:dyDescent="0.25">
      <c r="A39" s="59">
        <v>36</v>
      </c>
      <c r="B39" s="59">
        <v>43</v>
      </c>
      <c r="C39" s="55" t="s">
        <v>52</v>
      </c>
      <c r="D39" s="55" t="s">
        <v>550</v>
      </c>
      <c r="E39" s="55" t="s">
        <v>490</v>
      </c>
      <c r="F39" s="77">
        <v>8900</v>
      </c>
      <c r="G39" s="55" t="s">
        <v>494</v>
      </c>
      <c r="H39" s="55" t="s">
        <v>551</v>
      </c>
      <c r="I39" s="76">
        <f>VLOOKUP(B39,'Caso 2 (Socios)'!$A$4:$G$73,4,FALSE)</f>
        <v>8400</v>
      </c>
      <c r="J39" s="75" t="str">
        <f t="shared" si="0"/>
        <v>No</v>
      </c>
      <c r="K39" s="80" t="str">
        <f t="shared" si="1"/>
        <v>✔️</v>
      </c>
      <c r="L39" s="56" t="str">
        <f t="shared" si="2"/>
        <v>Normal</v>
      </c>
      <c r="N39" s="2" cm="1">
        <f t="array" ref="N39">SUMPRODUCT(
  (B$4:B39=B39)*
  (E$4:E39="Depósito")*
  (F$4:F39&gt;=15000)*
  (F$4:F39&lt;=49999)*
  (D$4:D39&gt;=D39-5)*
  (D$4:D39&lt;=D39)
)</f>
        <v>0</v>
      </c>
      <c r="O39" s="2" cm="1">
        <f t="array" ref="O39">IF(AND(E39="Retiro",F39&gt;=40000,G39="Sucursal"),
  SUMPRODUCT(
    (B$4:B39=B39)*
    (E$4:E39="Depósito")*
    (F$4:F39&gt;=F39*0.8)*
    (D$4:D39&gt;=D39-3)*
    (D$4:D39&lt;D39)
  ),0)</f>
        <v>0</v>
      </c>
    </row>
    <row r="40" spans="1:15" ht="18" customHeight="1" x14ac:dyDescent="0.25">
      <c r="A40" s="75">
        <v>37</v>
      </c>
      <c r="B40" s="75">
        <v>47</v>
      </c>
      <c r="C40" s="56" t="s">
        <v>56</v>
      </c>
      <c r="D40" s="56" t="s">
        <v>552</v>
      </c>
      <c r="E40" s="56" t="s">
        <v>490</v>
      </c>
      <c r="F40" s="76">
        <v>9800</v>
      </c>
      <c r="G40" s="56" t="s">
        <v>491</v>
      </c>
      <c r="H40" s="56" t="s">
        <v>553</v>
      </c>
      <c r="I40" s="76">
        <f>VLOOKUP(B40,'Caso 2 (Socios)'!$A$4:$G$73,4,FALSE)</f>
        <v>9000</v>
      </c>
      <c r="J40" s="75" t="str">
        <f t="shared" si="0"/>
        <v>No</v>
      </c>
      <c r="K40" s="80" t="str">
        <f t="shared" si="1"/>
        <v>✔️</v>
      </c>
      <c r="L40" s="56" t="str">
        <f t="shared" si="2"/>
        <v>Normal</v>
      </c>
      <c r="N40" s="2" cm="1">
        <f t="array" ref="N40">SUMPRODUCT(
  (B$4:B40=B40)*
  (E$4:E40="Depósito")*
  (F$4:F40&gt;=15000)*
  (F$4:F40&lt;=49999)*
  (D$4:D40&gt;=D40-5)*
  (D$4:D40&lt;=D40)
)</f>
        <v>0</v>
      </c>
      <c r="O40" s="2" cm="1">
        <f t="array" ref="O40">IF(AND(E40="Retiro",F40&gt;=40000,G40="Sucursal"),
  SUMPRODUCT(
    (B$4:B40=B40)*
    (E$4:E40="Depósito")*
    (F$4:F40&gt;=F40*0.8)*
    (D$4:D40&gt;=D40-3)*
    (D$4:D40&lt;D40)
  ),0)</f>
        <v>0</v>
      </c>
    </row>
    <row r="41" spans="1:15" ht="18" customHeight="1" x14ac:dyDescent="0.25">
      <c r="A41" s="59">
        <v>38</v>
      </c>
      <c r="B41" s="59">
        <v>54</v>
      </c>
      <c r="C41" s="55" t="s">
        <v>63</v>
      </c>
      <c r="D41" s="55" t="s">
        <v>554</v>
      </c>
      <c r="E41" s="55" t="s">
        <v>490</v>
      </c>
      <c r="F41" s="77">
        <v>105000</v>
      </c>
      <c r="G41" s="55" t="s">
        <v>494</v>
      </c>
      <c r="H41" s="55" t="s">
        <v>555</v>
      </c>
      <c r="I41" s="76">
        <f>VLOOKUP(B41,'Caso 2 (Socios)'!$A$4:$G$73,4,FALSE)</f>
        <v>15500</v>
      </c>
      <c r="J41" s="75" t="str">
        <f t="shared" si="0"/>
        <v>Sí</v>
      </c>
      <c r="K41" s="80" t="str">
        <f t="shared" si="1"/>
        <v>⚠️</v>
      </c>
      <c r="L41" s="56" t="str">
        <f t="shared" si="2"/>
        <v>Monto alto + Inconsistencia</v>
      </c>
      <c r="N41" s="2" cm="1">
        <f t="array" ref="N41">SUMPRODUCT(
  (B$4:B41=B41)*
  (E$4:E41="Depósito")*
  (F$4:F41&gt;=15000)*
  (F$4:F41&lt;=49999)*
  (D$4:D41&gt;=D41-5)*
  (D$4:D41&lt;=D41)
)</f>
        <v>0</v>
      </c>
      <c r="O41" s="2" cm="1">
        <f t="array" ref="O41">IF(AND(E41="Retiro",F41&gt;=40000,G41="Sucursal"),
  SUMPRODUCT(
    (B$4:B41=B41)*
    (E$4:E41="Depósito")*
    (F$4:F41&gt;=F41*0.8)*
    (D$4:D41&gt;=D41-3)*
    (D$4:D41&lt;D41)
  ),0)</f>
        <v>0</v>
      </c>
    </row>
    <row r="42" spans="1:15" ht="18" customHeight="1" x14ac:dyDescent="0.25">
      <c r="A42" s="75">
        <v>39</v>
      </c>
      <c r="B42" s="75">
        <v>56</v>
      </c>
      <c r="C42" s="56" t="s">
        <v>468</v>
      </c>
      <c r="D42" s="56" t="s">
        <v>556</v>
      </c>
      <c r="E42" s="56" t="s">
        <v>490</v>
      </c>
      <c r="F42" s="76">
        <v>18800</v>
      </c>
      <c r="G42" s="56" t="s">
        <v>494</v>
      </c>
      <c r="H42" s="56" t="s">
        <v>557</v>
      </c>
      <c r="I42" s="76">
        <f>VLOOKUP(B42,'Caso 2 (Socios)'!$A$4:$G$73,4,FALSE)</f>
        <v>18000</v>
      </c>
      <c r="J42" s="75" t="str">
        <f t="shared" si="0"/>
        <v>No</v>
      </c>
      <c r="K42" s="80" t="str">
        <f t="shared" si="1"/>
        <v>✔️</v>
      </c>
      <c r="L42" s="56" t="str">
        <f t="shared" si="2"/>
        <v>Normal</v>
      </c>
      <c r="N42" s="2" cm="1">
        <f t="array" ref="N42">SUMPRODUCT(
  (B$4:B42=B42)*
  (E$4:E42="Depósito")*
  (F$4:F42&gt;=15000)*
  (F$4:F42&lt;=49999)*
  (D$4:D42&gt;=D42-5)*
  (D$4:D42&lt;=D42)
)</f>
        <v>1</v>
      </c>
      <c r="O42" s="2" cm="1">
        <f t="array" ref="O42">IF(AND(E42="Retiro",F42&gt;=40000,G42="Sucursal"),
  SUMPRODUCT(
    (B$4:B42=B42)*
    (E$4:E42="Depósito")*
    (F$4:F42&gt;=F42*0.8)*
    (D$4:D42&gt;=D42-3)*
    (D$4:D42&lt;D42)
  ),0)</f>
        <v>0</v>
      </c>
    </row>
    <row r="43" spans="1:15" ht="18" customHeight="1" x14ac:dyDescent="0.25">
      <c r="A43" s="59">
        <v>40</v>
      </c>
      <c r="B43" s="59">
        <v>60</v>
      </c>
      <c r="C43" s="55" t="s">
        <v>472</v>
      </c>
      <c r="D43" s="55" t="s">
        <v>558</v>
      </c>
      <c r="E43" s="55" t="s">
        <v>490</v>
      </c>
      <c r="F43" s="77">
        <v>88000</v>
      </c>
      <c r="G43" s="55" t="s">
        <v>494</v>
      </c>
      <c r="H43" s="55" t="s">
        <v>559</v>
      </c>
      <c r="I43" s="76">
        <f>VLOOKUP(B43,'Caso 2 (Socios)'!$A$4:$G$73,4,FALSE)</f>
        <v>22000</v>
      </c>
      <c r="J43" s="75" t="str">
        <f t="shared" si="0"/>
        <v>Sí</v>
      </c>
      <c r="K43" s="80" t="str">
        <f t="shared" si="1"/>
        <v>⚠️</v>
      </c>
      <c r="L43" s="56" t="str">
        <f t="shared" si="2"/>
        <v>Monto alto + Inconsistencia</v>
      </c>
      <c r="N43" s="2" cm="1">
        <f t="array" ref="N43">SUMPRODUCT(
  (B$4:B43=B43)*
  (E$4:E43="Depósito")*
  (F$4:F43&gt;=15000)*
  (F$4:F43&lt;=49999)*
  (D$4:D43&gt;=D43-5)*
  (D$4:D43&lt;=D43)
)</f>
        <v>0</v>
      </c>
      <c r="O43" s="2" cm="1">
        <f t="array" ref="O43">IF(AND(E43="Retiro",F43&gt;=40000,G43="Sucursal"),
  SUMPRODUCT(
    (B$4:B43=B43)*
    (E$4:E43="Depósito")*
    (F$4:F43&gt;=F43*0.8)*
    (D$4:D43&gt;=D43-3)*
    (D$4:D43&lt;D43)
  ),0)</f>
        <v>0</v>
      </c>
    </row>
    <row r="44" spans="1:15" ht="18" customHeight="1" x14ac:dyDescent="0.25">
      <c r="A44" s="75">
        <v>41</v>
      </c>
      <c r="B44" s="75">
        <v>13</v>
      </c>
      <c r="C44" s="56" t="s">
        <v>23</v>
      </c>
      <c r="D44" s="56" t="s">
        <v>560</v>
      </c>
      <c r="E44" s="56" t="s">
        <v>490</v>
      </c>
      <c r="F44" s="76">
        <v>9400</v>
      </c>
      <c r="G44" s="56" t="s">
        <v>494</v>
      </c>
      <c r="H44" s="56" t="s">
        <v>561</v>
      </c>
      <c r="I44" s="76">
        <f>VLOOKUP(B44,'Caso 2 (Socios)'!$A$4:$G$73,4,FALSE)</f>
        <v>9000</v>
      </c>
      <c r="J44" s="75" t="str">
        <f t="shared" si="0"/>
        <v>No</v>
      </c>
      <c r="K44" s="80" t="str">
        <f t="shared" si="1"/>
        <v>✔️</v>
      </c>
      <c r="L44" s="56" t="str">
        <f t="shared" si="2"/>
        <v>Normal</v>
      </c>
      <c r="N44" s="2" cm="1">
        <f t="array" ref="N44">SUMPRODUCT(
  (B$4:B44=B44)*
  (E$4:E44="Depósito")*
  (F$4:F44&gt;=15000)*
  (F$4:F44&lt;=49999)*
  (D$4:D44&gt;=D44-5)*
  (D$4:D44&lt;=D44)
)</f>
        <v>0</v>
      </c>
      <c r="O44" s="2" cm="1">
        <f t="array" ref="O44">IF(AND(E44="Retiro",F44&gt;=40000,G44="Sucursal"),
  SUMPRODUCT(
    (B$4:B44=B44)*
    (E$4:E44="Depósito")*
    (F$4:F44&gt;=F44*0.8)*
    (D$4:D44&gt;=D44-3)*
    (D$4:D44&lt;D44)
  ),0)</f>
        <v>0</v>
      </c>
    </row>
    <row r="45" spans="1:15" ht="18" customHeight="1" x14ac:dyDescent="0.25">
      <c r="A45" s="59">
        <v>42</v>
      </c>
      <c r="B45" s="59">
        <v>17</v>
      </c>
      <c r="C45" s="55" t="s">
        <v>27</v>
      </c>
      <c r="D45" s="55" t="s">
        <v>562</v>
      </c>
      <c r="E45" s="55" t="s">
        <v>490</v>
      </c>
      <c r="F45" s="77">
        <v>17500</v>
      </c>
      <c r="G45" s="55" t="s">
        <v>494</v>
      </c>
      <c r="H45" s="55" t="s">
        <v>563</v>
      </c>
      <c r="I45" s="76">
        <f>VLOOKUP(B45,'Caso 2 (Socios)'!$A$4:$G$73,4,FALSE)</f>
        <v>16000</v>
      </c>
      <c r="J45" s="75" t="str">
        <f t="shared" si="0"/>
        <v>No</v>
      </c>
      <c r="K45" s="80" t="str">
        <f t="shared" si="1"/>
        <v>✔️</v>
      </c>
      <c r="L45" s="56" t="str">
        <f t="shared" si="2"/>
        <v>Normal</v>
      </c>
      <c r="N45" s="2" cm="1">
        <f t="array" ref="N45">SUMPRODUCT(
  (B$4:B45=B45)*
  (E$4:E45="Depósito")*
  (F$4:F45&gt;=15000)*
  (F$4:F45&lt;=49999)*
  (D$4:D45&gt;=D45-5)*
  (D$4:D45&lt;=D45)
)</f>
        <v>1</v>
      </c>
      <c r="O45" s="2" cm="1">
        <f t="array" ref="O45">IF(AND(E45="Retiro",F45&gt;=40000,G45="Sucursal"),
  SUMPRODUCT(
    (B$4:B45=B45)*
    (E$4:E45="Depósito")*
    (F$4:F45&gt;=F45*0.8)*
    (D$4:D45&gt;=D45-3)*
    (D$4:D45&lt;D45)
  ),0)</f>
        <v>0</v>
      </c>
    </row>
    <row r="46" spans="1:15" ht="18" customHeight="1" x14ac:dyDescent="0.25">
      <c r="A46" s="75">
        <v>43</v>
      </c>
      <c r="B46" s="75">
        <v>26</v>
      </c>
      <c r="C46" s="56" t="s">
        <v>36</v>
      </c>
      <c r="D46" s="56" t="s">
        <v>564</v>
      </c>
      <c r="E46" s="56" t="s">
        <v>490</v>
      </c>
      <c r="F46" s="76">
        <v>8700</v>
      </c>
      <c r="G46" s="56" t="s">
        <v>491</v>
      </c>
      <c r="H46" s="56" t="s">
        <v>529</v>
      </c>
      <c r="I46" s="76">
        <f>VLOOKUP(B46,'Caso 2 (Socios)'!$A$4:$G$73,4,FALSE)</f>
        <v>8000</v>
      </c>
      <c r="J46" s="75" t="str">
        <f t="shared" si="0"/>
        <v>No</v>
      </c>
      <c r="K46" s="80" t="str">
        <f t="shared" si="1"/>
        <v>✔️</v>
      </c>
      <c r="L46" s="56" t="str">
        <f t="shared" si="2"/>
        <v>Normal</v>
      </c>
      <c r="N46" s="2" cm="1">
        <f t="array" ref="N46">SUMPRODUCT(
  (B$4:B46=B46)*
  (E$4:E46="Depósito")*
  (F$4:F46&gt;=15000)*
  (F$4:F46&lt;=49999)*
  (D$4:D46&gt;=D46-5)*
  (D$4:D46&lt;=D46)
)</f>
        <v>0</v>
      </c>
      <c r="O46" s="2" cm="1">
        <f t="array" ref="O46">IF(AND(E46="Retiro",F46&gt;=40000,G46="Sucursal"),
  SUMPRODUCT(
    (B$4:B46=B46)*
    (E$4:E46="Depósito")*
    (F$4:F46&gt;=F46*0.8)*
    (D$4:D46&gt;=D46-3)*
    (D$4:D46&lt;D46)
  ),0)</f>
        <v>0</v>
      </c>
    </row>
    <row r="47" spans="1:15" ht="18" customHeight="1" x14ac:dyDescent="0.25">
      <c r="A47" s="59">
        <v>44</v>
      </c>
      <c r="B47" s="59">
        <v>33</v>
      </c>
      <c r="C47" s="55" t="s">
        <v>42</v>
      </c>
      <c r="D47" s="55" t="s">
        <v>565</v>
      </c>
      <c r="E47" s="55" t="s">
        <v>490</v>
      </c>
      <c r="F47" s="77">
        <v>54000</v>
      </c>
      <c r="G47" s="55" t="s">
        <v>494</v>
      </c>
      <c r="H47" s="55" t="s">
        <v>566</v>
      </c>
      <c r="I47" s="76">
        <f>VLOOKUP(B47,'Caso 2 (Socios)'!$A$4:$G$73,4,FALSE)</f>
        <v>8700</v>
      </c>
      <c r="J47" s="75" t="str">
        <f t="shared" si="0"/>
        <v>Sí</v>
      </c>
      <c r="K47" s="80" t="str">
        <f t="shared" si="1"/>
        <v>⚠️</v>
      </c>
      <c r="L47" s="56" t="str">
        <f t="shared" si="2"/>
        <v>Monto alto + Inconsistencia</v>
      </c>
      <c r="N47" s="2" cm="1">
        <f t="array" ref="N47">SUMPRODUCT(
  (B$4:B47=B47)*
  (E$4:E47="Depósito")*
  (F$4:F47&gt;=15000)*
  (F$4:F47&lt;=49999)*
  (D$4:D47&gt;=D47-5)*
  (D$4:D47&lt;=D47)
)</f>
        <v>0</v>
      </c>
      <c r="O47" s="2" cm="1">
        <f t="array" ref="O47">IF(AND(E47="Retiro",F47&gt;=40000,G47="Sucursal"),
  SUMPRODUCT(
    (B$4:B47=B47)*
    (E$4:E47="Depósito")*
    (F$4:F47&gt;=F47*0.8)*
    (D$4:D47&gt;=D47-3)*
    (D$4:D47&lt;D47)
  ),0)</f>
        <v>0</v>
      </c>
    </row>
    <row r="48" spans="1:15" ht="18" customHeight="1" x14ac:dyDescent="0.25">
      <c r="A48" s="75">
        <v>45</v>
      </c>
      <c r="B48" s="75">
        <v>41</v>
      </c>
      <c r="C48" s="56" t="s">
        <v>50</v>
      </c>
      <c r="D48" s="56" t="s">
        <v>567</v>
      </c>
      <c r="E48" s="56" t="s">
        <v>490</v>
      </c>
      <c r="F48" s="76">
        <v>17000</v>
      </c>
      <c r="G48" s="56" t="s">
        <v>494</v>
      </c>
      <c r="H48" s="56" t="s">
        <v>517</v>
      </c>
      <c r="I48" s="76">
        <f>VLOOKUP(B48,'Caso 2 (Socios)'!$A$4:$G$73,4,FALSE)</f>
        <v>16800</v>
      </c>
      <c r="J48" s="75" t="str">
        <f t="shared" si="0"/>
        <v>No</v>
      </c>
      <c r="K48" s="80" t="str">
        <f t="shared" si="1"/>
        <v>✔️</v>
      </c>
      <c r="L48" s="56" t="str">
        <f t="shared" si="2"/>
        <v>Normal</v>
      </c>
      <c r="N48" s="2" cm="1">
        <f t="array" ref="N48">SUMPRODUCT(
  (B$4:B48=B48)*
  (E$4:E48="Depósito")*
  (F$4:F48&gt;=15000)*
  (F$4:F48&lt;=49999)*
  (D$4:D48&gt;=D48-5)*
  (D$4:D48&lt;=D48)
)</f>
        <v>1</v>
      </c>
      <c r="O48" s="2" cm="1">
        <f t="array" ref="O48">IF(AND(E48="Retiro",F48&gt;=40000,G48="Sucursal"),
  SUMPRODUCT(
    (B$4:B48=B48)*
    (E$4:E48="Depósito")*
    (F$4:F48&gt;=F48*0.8)*
    (D$4:D48&gt;=D48-3)*
    (D$4:D48&lt;D48)
  ),0)</f>
        <v>0</v>
      </c>
    </row>
    <row r="49" spans="1:15" ht="18" customHeight="1" x14ac:dyDescent="0.25">
      <c r="A49" s="59">
        <v>46</v>
      </c>
      <c r="B49" s="59">
        <v>45</v>
      </c>
      <c r="C49" s="55" t="s">
        <v>54</v>
      </c>
      <c r="D49" s="55" t="s">
        <v>568</v>
      </c>
      <c r="E49" s="55" t="s">
        <v>490</v>
      </c>
      <c r="F49" s="77">
        <v>24500</v>
      </c>
      <c r="G49" s="55" t="s">
        <v>491</v>
      </c>
      <c r="H49" s="55" t="s">
        <v>544</v>
      </c>
      <c r="I49" s="76">
        <f>VLOOKUP(B49,'Caso 2 (Socios)'!$A$4:$G$73,4,FALSE)</f>
        <v>24000</v>
      </c>
      <c r="J49" s="75" t="str">
        <f t="shared" si="0"/>
        <v>No</v>
      </c>
      <c r="K49" s="80" t="str">
        <f t="shared" si="1"/>
        <v>✔️</v>
      </c>
      <c r="L49" s="56" t="str">
        <f t="shared" si="2"/>
        <v>Normal</v>
      </c>
      <c r="N49" s="2" cm="1">
        <f t="array" ref="N49">SUMPRODUCT(
  (B$4:B49=B49)*
  (E$4:E49="Depósito")*
  (F$4:F49&gt;=15000)*
  (F$4:F49&lt;=49999)*
  (D$4:D49&gt;=D49-5)*
  (D$4:D49&lt;=D49)
)</f>
        <v>1</v>
      </c>
      <c r="O49" s="2" cm="1">
        <f t="array" ref="O49">IF(AND(E49="Retiro",F49&gt;=40000,G49="Sucursal"),
  SUMPRODUCT(
    (B$4:B49=B49)*
    (E$4:E49="Depósito")*
    (F$4:F49&gt;=F49*0.8)*
    (D$4:D49&gt;=D49-3)*
    (D$4:D49&lt;D49)
  ),0)</f>
        <v>0</v>
      </c>
    </row>
    <row r="50" spans="1:15" ht="18" customHeight="1" x14ac:dyDescent="0.25">
      <c r="A50" s="75">
        <v>47</v>
      </c>
      <c r="B50" s="75">
        <v>49</v>
      </c>
      <c r="C50" s="56" t="s">
        <v>58</v>
      </c>
      <c r="D50" s="56" t="s">
        <v>569</v>
      </c>
      <c r="E50" s="56" t="s">
        <v>490</v>
      </c>
      <c r="F50" s="76">
        <v>29000</v>
      </c>
      <c r="G50" s="56" t="s">
        <v>494</v>
      </c>
      <c r="H50" s="56" t="s">
        <v>570</v>
      </c>
      <c r="I50" s="76">
        <f>VLOOKUP(B50,'Caso 2 (Socios)'!$A$4:$G$73,4,FALSE)</f>
        <v>27000</v>
      </c>
      <c r="J50" s="75" t="str">
        <f t="shared" si="0"/>
        <v>No</v>
      </c>
      <c r="K50" s="80" t="str">
        <f t="shared" si="1"/>
        <v>✔️</v>
      </c>
      <c r="L50" s="56" t="str">
        <f t="shared" si="2"/>
        <v>Normal</v>
      </c>
      <c r="N50" s="2" cm="1">
        <f t="array" ref="N50">SUMPRODUCT(
  (B$4:B50=B50)*
  (E$4:E50="Depósito")*
  (F$4:F50&gt;=15000)*
  (F$4:F50&lt;=49999)*
  (D$4:D50&gt;=D50-5)*
  (D$4:D50&lt;=D50)
)</f>
        <v>1</v>
      </c>
      <c r="O50" s="2" cm="1">
        <f t="array" ref="O50">IF(AND(E50="Retiro",F50&gt;=40000,G50="Sucursal"),
  SUMPRODUCT(
    (B$4:B50=B50)*
    (E$4:E50="Depósito")*
    (F$4:F50&gt;=F50*0.8)*
    (D$4:D50&gt;=D50-3)*
    (D$4:D50&lt;D50)
  ),0)</f>
        <v>0</v>
      </c>
    </row>
    <row r="51" spans="1:15" ht="18" customHeight="1" x14ac:dyDescent="0.25">
      <c r="A51" s="59">
        <v>48</v>
      </c>
      <c r="B51" s="59">
        <v>55</v>
      </c>
      <c r="C51" s="55" t="s">
        <v>64</v>
      </c>
      <c r="D51" s="55" t="s">
        <v>571</v>
      </c>
      <c r="E51" s="55" t="s">
        <v>548</v>
      </c>
      <c r="F51" s="77">
        <v>42000</v>
      </c>
      <c r="G51" s="55" t="s">
        <v>494</v>
      </c>
      <c r="H51" s="55" t="s">
        <v>572</v>
      </c>
      <c r="I51" s="76">
        <f>VLOOKUP(B51,'Caso 2 (Socios)'!$A$4:$G$73,4,FALSE)</f>
        <v>8100</v>
      </c>
      <c r="J51" s="75" t="str">
        <f t="shared" si="0"/>
        <v>Sí</v>
      </c>
      <c r="K51" s="80" t="str">
        <f t="shared" si="1"/>
        <v>✔️</v>
      </c>
      <c r="L51" s="56" t="str">
        <f t="shared" si="2"/>
        <v>Normal</v>
      </c>
      <c r="N51" s="2" cm="1">
        <f t="array" ref="N51">SUMPRODUCT(
  (B$4:B51=B51)*
  (E$4:E51="Depósito")*
  (F$4:F51&gt;=15000)*
  (F$4:F51&lt;=49999)*
  (D$4:D51&gt;=D51-5)*
  (D$4:D51&lt;=D51)
)</f>
        <v>0</v>
      </c>
      <c r="O51" s="2" cm="1">
        <f t="array" ref="O51">IF(AND(E51="Retiro",F51&gt;=40000,G51="Sucursal"),
  SUMPRODUCT(
    (B$4:B51=B51)*
    (E$4:E51="Depósito")*
    (F$4:F51&gt;=F51*0.8)*
    (D$4:D51&gt;=D51-3)*
    (D$4:D51&lt;D51)
  ),0)</f>
        <v>0</v>
      </c>
    </row>
    <row r="52" spans="1:15" ht="18" customHeight="1" x14ac:dyDescent="0.25">
      <c r="A52" s="75">
        <v>49</v>
      </c>
      <c r="B52" s="75">
        <v>58</v>
      </c>
      <c r="C52" s="56" t="s">
        <v>470</v>
      </c>
      <c r="D52" s="56" t="s">
        <v>573</v>
      </c>
      <c r="E52" s="56" t="s">
        <v>490</v>
      </c>
      <c r="F52" s="76">
        <v>115000</v>
      </c>
      <c r="G52" s="56" t="s">
        <v>494</v>
      </c>
      <c r="H52" s="56" t="s">
        <v>574</v>
      </c>
      <c r="I52" s="76">
        <f>VLOOKUP(B52,'Caso 2 (Socios)'!$A$4:$G$73,4,FALSE)</f>
        <v>25000</v>
      </c>
      <c r="J52" s="75" t="str">
        <f t="shared" si="0"/>
        <v>Sí</v>
      </c>
      <c r="K52" s="80" t="str">
        <f t="shared" si="1"/>
        <v>⚠️</v>
      </c>
      <c r="L52" s="56" t="str">
        <f t="shared" si="2"/>
        <v>Monto alto + Inconsistencia</v>
      </c>
      <c r="N52" s="2" cm="1">
        <f t="array" ref="N52">SUMPRODUCT(
  (B$4:B52=B52)*
  (E$4:E52="Depósito")*
  (F$4:F52&gt;=15000)*
  (F$4:F52&lt;=49999)*
  (D$4:D52&gt;=D52-5)*
  (D$4:D52&lt;=D52)
)</f>
        <v>0</v>
      </c>
      <c r="O52" s="2" cm="1">
        <f t="array" ref="O52">IF(AND(E52="Retiro",F52&gt;=40000,G52="Sucursal"),
  SUMPRODUCT(
    (B$4:B52=B52)*
    (E$4:E52="Depósito")*
    (F$4:F52&gt;=F52*0.8)*
    (D$4:D52&gt;=D52-3)*
    (D$4:D52&lt;D52)
  ),0)</f>
        <v>0</v>
      </c>
    </row>
    <row r="53" spans="1:15" ht="18" customHeight="1" x14ac:dyDescent="0.25">
      <c r="A53" s="59">
        <v>50</v>
      </c>
      <c r="B53" s="59">
        <v>11</v>
      </c>
      <c r="C53" s="55" t="s">
        <v>21</v>
      </c>
      <c r="D53" s="55" t="s">
        <v>575</v>
      </c>
      <c r="E53" s="55" t="s">
        <v>490</v>
      </c>
      <c r="F53" s="77">
        <v>8200</v>
      </c>
      <c r="G53" s="55" t="s">
        <v>494</v>
      </c>
      <c r="H53" s="55" t="s">
        <v>553</v>
      </c>
      <c r="I53" s="76">
        <f>VLOOKUP(B53,'Caso 2 (Socios)'!$A$4:$G$73,4,FALSE)</f>
        <v>7800</v>
      </c>
      <c r="J53" s="75" t="str">
        <f t="shared" si="0"/>
        <v>No</v>
      </c>
      <c r="K53" s="80" t="str">
        <f t="shared" si="1"/>
        <v>✔️</v>
      </c>
      <c r="L53" s="56" t="str">
        <f t="shared" si="2"/>
        <v>Normal</v>
      </c>
      <c r="N53" s="2" cm="1">
        <f t="array" ref="N53">SUMPRODUCT(
  (B$4:B53=B53)*
  (E$4:E53="Depósito")*
  (F$4:F53&gt;=15000)*
  (F$4:F53&lt;=49999)*
  (D$4:D53&gt;=D53-5)*
  (D$4:D53&lt;=D53)
)</f>
        <v>0</v>
      </c>
      <c r="O53" s="2" cm="1">
        <f t="array" ref="O53">IF(AND(E53="Retiro",F53&gt;=40000,G53="Sucursal"),
  SUMPRODUCT(
    (B$4:B53=B53)*
    (E$4:E53="Depósito")*
    (F$4:F53&gt;=F53*0.8)*
    (D$4:D53&gt;=D53-3)*
    (D$4:D53&lt;D53)
  ),0)</f>
        <v>0</v>
      </c>
    </row>
    <row r="54" spans="1:15" ht="18" customHeight="1" x14ac:dyDescent="0.25">
      <c r="A54" s="75">
        <v>51</v>
      </c>
      <c r="B54" s="75">
        <v>23</v>
      </c>
      <c r="C54" s="56" t="s">
        <v>33</v>
      </c>
      <c r="D54" s="56" t="s">
        <v>576</v>
      </c>
      <c r="E54" s="56" t="s">
        <v>490</v>
      </c>
      <c r="F54" s="76">
        <v>21500</v>
      </c>
      <c r="G54" s="56" t="s">
        <v>491</v>
      </c>
      <c r="H54" s="56" t="s">
        <v>557</v>
      </c>
      <c r="I54" s="76">
        <f>VLOOKUP(B54,'Caso 2 (Socios)'!$A$4:$G$73,4,FALSE)</f>
        <v>21000</v>
      </c>
      <c r="J54" s="75" t="str">
        <f t="shared" si="0"/>
        <v>No</v>
      </c>
      <c r="K54" s="80" t="str">
        <f t="shared" si="1"/>
        <v>✔️</v>
      </c>
      <c r="L54" s="56" t="str">
        <f t="shared" si="2"/>
        <v>Normal</v>
      </c>
      <c r="N54" s="2" cm="1">
        <f t="array" ref="N54">SUMPRODUCT(
  (B$4:B54=B54)*
  (E$4:E54="Depósito")*
  (F$4:F54&gt;=15000)*
  (F$4:F54&lt;=49999)*
  (D$4:D54&gt;=D54-5)*
  (D$4:D54&lt;=D54)
)</f>
        <v>1</v>
      </c>
      <c r="O54" s="2" cm="1">
        <f t="array" ref="O54">IF(AND(E54="Retiro",F54&gt;=40000,G54="Sucursal"),
  SUMPRODUCT(
    (B$4:B54=B54)*
    (E$4:E54="Depósito")*
    (F$4:F54&gt;=F54*0.8)*
    (D$4:D54&gt;=D54-3)*
    (D$4:D54&lt;D54)
  ),0)</f>
        <v>0</v>
      </c>
    </row>
    <row r="55" spans="1:15" ht="18" customHeight="1" x14ac:dyDescent="0.25">
      <c r="A55" s="59">
        <v>52</v>
      </c>
      <c r="B55" s="59">
        <v>35</v>
      </c>
      <c r="C55" s="55" t="s">
        <v>44</v>
      </c>
      <c r="D55" s="55" t="s">
        <v>577</v>
      </c>
      <c r="E55" s="55" t="s">
        <v>490</v>
      </c>
      <c r="F55" s="77">
        <v>92000</v>
      </c>
      <c r="G55" s="55" t="s">
        <v>494</v>
      </c>
      <c r="H55" s="55" t="s">
        <v>574</v>
      </c>
      <c r="I55" s="76">
        <f>VLOOKUP(B55,'Caso 2 (Socios)'!$A$4:$G$73,4,FALSE)</f>
        <v>30000</v>
      </c>
      <c r="J55" s="75" t="str">
        <f t="shared" si="0"/>
        <v>Sí</v>
      </c>
      <c r="K55" s="80" t="str">
        <f t="shared" si="1"/>
        <v>⚠️</v>
      </c>
      <c r="L55" s="56" t="str">
        <f t="shared" si="2"/>
        <v>Monto alto + Inconsistencia</v>
      </c>
      <c r="N55" s="2" cm="1">
        <f t="array" ref="N55">SUMPRODUCT(
  (B$4:B55=B55)*
  (E$4:E55="Depósito")*
  (F$4:F55&gt;=15000)*
  (F$4:F55&lt;=49999)*
  (D$4:D55&gt;=D55-5)*
  (D$4:D55&lt;=D55)
)</f>
        <v>0</v>
      </c>
      <c r="O55" s="2" cm="1">
        <f t="array" ref="O55">IF(AND(E55="Retiro",F55&gt;=40000,G55="Sucursal"),
  SUMPRODUCT(
    (B$4:B55=B55)*
    (E$4:E55="Depósito")*
    (F$4:F55&gt;=F55*0.8)*
    (D$4:D55&gt;=D55-3)*
    (D$4:D55&lt;D55)
  ),0)</f>
        <v>0</v>
      </c>
    </row>
    <row r="56" spans="1:15" ht="18" customHeight="1" x14ac:dyDescent="0.25">
      <c r="A56" s="75">
        <v>53</v>
      </c>
      <c r="B56" s="75">
        <v>8</v>
      </c>
      <c r="C56" s="56" t="s">
        <v>10</v>
      </c>
      <c r="D56" s="56" t="s">
        <v>578</v>
      </c>
      <c r="E56" s="56" t="s">
        <v>490</v>
      </c>
      <c r="F56" s="76">
        <v>6700</v>
      </c>
      <c r="G56" s="56" t="s">
        <v>491</v>
      </c>
      <c r="H56" s="56" t="s">
        <v>513</v>
      </c>
      <c r="I56" s="76">
        <f>VLOOKUP(B56,'Caso 2 (Socios)'!$A$4:$G$73,4,FALSE)</f>
        <v>6000</v>
      </c>
      <c r="J56" s="75" t="str">
        <f t="shared" si="0"/>
        <v>No</v>
      </c>
      <c r="K56" s="80" t="str">
        <f t="shared" si="1"/>
        <v>✔️</v>
      </c>
      <c r="L56" s="56" t="str">
        <f t="shared" si="2"/>
        <v>Normal</v>
      </c>
      <c r="N56" s="2" cm="1">
        <f t="array" ref="N56">SUMPRODUCT(
  (B$4:B56=B56)*
  (E$4:E56="Depósito")*
  (F$4:F56&gt;=15000)*
  (F$4:F56&lt;=49999)*
  (D$4:D56&gt;=D56-5)*
  (D$4:D56&lt;=D56)
)</f>
        <v>0</v>
      </c>
      <c r="O56" s="2" cm="1">
        <f t="array" ref="O56">IF(AND(E56="Retiro",F56&gt;=40000,G56="Sucursal"),
  SUMPRODUCT(
    (B$4:B56=B56)*
    (E$4:E56="Depósito")*
    (F$4:F56&gt;=F56*0.8)*
    (D$4:D56&gt;=D56-3)*
    (D$4:D56&lt;D56)
  ),0)</f>
        <v>0</v>
      </c>
    </row>
    <row r="57" spans="1:15" ht="18" customHeight="1" x14ac:dyDescent="0.25">
      <c r="A57" s="59">
        <v>54</v>
      </c>
      <c r="B57" s="59">
        <v>42</v>
      </c>
      <c r="C57" s="55" t="s">
        <v>51</v>
      </c>
      <c r="D57" s="55" t="s">
        <v>579</v>
      </c>
      <c r="E57" s="55" t="s">
        <v>490</v>
      </c>
      <c r="F57" s="77">
        <v>11000</v>
      </c>
      <c r="G57" s="55" t="s">
        <v>494</v>
      </c>
      <c r="H57" s="55" t="s">
        <v>497</v>
      </c>
      <c r="I57" s="76">
        <f>VLOOKUP(B57,'Caso 2 (Socios)'!$A$4:$G$73,4,FALSE)</f>
        <v>10800</v>
      </c>
      <c r="J57" s="75" t="str">
        <f t="shared" si="0"/>
        <v>No</v>
      </c>
      <c r="K57" s="80" t="str">
        <f t="shared" si="1"/>
        <v>✔️</v>
      </c>
      <c r="L57" s="56" t="str">
        <f t="shared" si="2"/>
        <v>Normal</v>
      </c>
      <c r="N57" s="2" cm="1">
        <f t="array" ref="N57">SUMPRODUCT(
  (B$4:B57=B57)*
  (E$4:E57="Depósito")*
  (F$4:F57&gt;=15000)*
  (F$4:F57&lt;=49999)*
  (D$4:D57&gt;=D57-5)*
  (D$4:D57&lt;=D57)
)</f>
        <v>0</v>
      </c>
      <c r="O57" s="2" cm="1">
        <f t="array" ref="O57">IF(AND(E57="Retiro",F57&gt;=40000,G57="Sucursal"),
  SUMPRODUCT(
    (B$4:B57=B57)*
    (E$4:E57="Depósito")*
    (F$4:F57&gt;=F57*0.8)*
    (D$4:D57&gt;=D57-3)*
    (D$4:D57&lt;D57)
  ),0)</f>
        <v>0</v>
      </c>
    </row>
    <row r="58" spans="1:15" ht="18" customHeight="1" x14ac:dyDescent="0.25">
      <c r="A58" s="75">
        <v>55</v>
      </c>
      <c r="B58" s="75">
        <v>19</v>
      </c>
      <c r="C58" s="56" t="s">
        <v>29</v>
      </c>
      <c r="D58" s="56" t="s">
        <v>580</v>
      </c>
      <c r="E58" s="56" t="s">
        <v>490</v>
      </c>
      <c r="F58" s="76">
        <v>20500</v>
      </c>
      <c r="G58" s="56" t="s">
        <v>494</v>
      </c>
      <c r="H58" s="56" t="s">
        <v>581</v>
      </c>
      <c r="I58" s="76">
        <f>VLOOKUP(B58,'Caso 2 (Socios)'!$A$4:$G$73,4,FALSE)</f>
        <v>19000</v>
      </c>
      <c r="J58" s="75" t="str">
        <f t="shared" si="0"/>
        <v>No</v>
      </c>
      <c r="K58" s="80" t="str">
        <f t="shared" si="1"/>
        <v>✔️</v>
      </c>
      <c r="L58" s="56" t="str">
        <f t="shared" si="2"/>
        <v>Normal</v>
      </c>
      <c r="N58" s="2" cm="1">
        <f t="array" ref="N58">SUMPRODUCT(
  (B$4:B58=B58)*
  (E$4:E58="Depósito")*
  (F$4:F58&gt;=15000)*
  (F$4:F58&lt;=49999)*
  (D$4:D58&gt;=D58-5)*
  (D$4:D58&lt;=D58)
)</f>
        <v>1</v>
      </c>
      <c r="O58" s="2" cm="1">
        <f t="array" ref="O58">IF(AND(E58="Retiro",F58&gt;=40000,G58="Sucursal"),
  SUMPRODUCT(
    (B$4:B58=B58)*
    (E$4:E58="Depósito")*
    (F$4:F58&gt;=F58*0.8)*
    (D$4:D58&gt;=D58-3)*
    (D$4:D58&lt;D58)
  ),0)</f>
        <v>0</v>
      </c>
    </row>
    <row r="59" spans="1:15" ht="18" customHeight="1" x14ac:dyDescent="0.25">
      <c r="A59" s="59">
        <v>56</v>
      </c>
      <c r="B59" s="59">
        <v>30</v>
      </c>
      <c r="C59" s="55" t="s">
        <v>40</v>
      </c>
      <c r="D59" s="55" t="s">
        <v>582</v>
      </c>
      <c r="E59" s="55" t="s">
        <v>490</v>
      </c>
      <c r="F59" s="77">
        <v>10600</v>
      </c>
      <c r="G59" s="55" t="s">
        <v>491</v>
      </c>
      <c r="H59" s="55" t="s">
        <v>497</v>
      </c>
      <c r="I59" s="76">
        <f>VLOOKUP(B59,'Caso 2 (Socios)'!$A$4:$G$73,4,FALSE)</f>
        <v>10200</v>
      </c>
      <c r="J59" s="75" t="str">
        <f t="shared" si="0"/>
        <v>No</v>
      </c>
      <c r="K59" s="80" t="str">
        <f t="shared" si="1"/>
        <v>✔️</v>
      </c>
      <c r="L59" s="56" t="str">
        <f t="shared" si="2"/>
        <v>Normal</v>
      </c>
      <c r="N59" s="2" cm="1">
        <f t="array" ref="N59">SUMPRODUCT(
  (B$4:B59=B59)*
  (E$4:E59="Depósito")*
  (F$4:F59&gt;=15000)*
  (F$4:F59&lt;=49999)*
  (D$4:D59&gt;=D59-5)*
  (D$4:D59&lt;=D59)
)</f>
        <v>0</v>
      </c>
      <c r="O59" s="2" cm="1">
        <f t="array" ref="O59">IF(AND(E59="Retiro",F59&gt;=40000,G59="Sucursal"),
  SUMPRODUCT(
    (B$4:B59=B59)*
    (E$4:E59="Depósito")*
    (F$4:F59&gt;=F59*0.8)*
    (D$4:D59&gt;=D59-3)*
    (D$4:D59&lt;D59)
  ),0)</f>
        <v>0</v>
      </c>
    </row>
    <row r="60" spans="1:15" ht="18" customHeight="1" x14ac:dyDescent="0.25">
      <c r="A60" s="75">
        <v>57</v>
      </c>
      <c r="B60" s="75">
        <v>34</v>
      </c>
      <c r="C60" s="56" t="s">
        <v>43</v>
      </c>
      <c r="D60" s="56" t="s">
        <v>583</v>
      </c>
      <c r="E60" s="56" t="s">
        <v>490</v>
      </c>
      <c r="F60" s="76">
        <v>5700</v>
      </c>
      <c r="G60" s="56" t="s">
        <v>494</v>
      </c>
      <c r="H60" s="56" t="s">
        <v>513</v>
      </c>
      <c r="I60" s="76">
        <f>VLOOKUP(B60,'Caso 2 (Socios)'!$A$4:$G$73,4,FALSE)</f>
        <v>5500</v>
      </c>
      <c r="J60" s="75" t="str">
        <f t="shared" si="0"/>
        <v>No</v>
      </c>
      <c r="K60" s="80" t="str">
        <f t="shared" si="1"/>
        <v>✔️</v>
      </c>
      <c r="L60" s="56" t="str">
        <f t="shared" si="2"/>
        <v>Normal</v>
      </c>
      <c r="N60" s="2" cm="1">
        <f t="array" ref="N60">SUMPRODUCT(
  (B$4:B60=B60)*
  (E$4:E60="Depósito")*
  (F$4:F60&gt;=15000)*
  (F$4:F60&lt;=49999)*
  (D$4:D60&gt;=D60-5)*
  (D$4:D60&lt;=D60)
)</f>
        <v>0</v>
      </c>
      <c r="O60" s="2" cm="1">
        <f t="array" ref="O60">IF(AND(E60="Retiro",F60&gt;=40000,G60="Sucursal"),
  SUMPRODUCT(
    (B$4:B60=B60)*
    (E$4:E60="Depósito")*
    (F$4:F60&gt;=F60*0.8)*
    (D$4:D60&gt;=D60-3)*
    (D$4:D60&lt;D60)
  ),0)</f>
        <v>0</v>
      </c>
    </row>
    <row r="61" spans="1:15" ht="18" customHeight="1" x14ac:dyDescent="0.25">
      <c r="A61" s="59">
        <v>58</v>
      </c>
      <c r="B61" s="59">
        <v>38</v>
      </c>
      <c r="C61" s="55" t="s">
        <v>47</v>
      </c>
      <c r="D61" s="55" t="s">
        <v>584</v>
      </c>
      <c r="E61" s="55" t="s">
        <v>490</v>
      </c>
      <c r="F61" s="77">
        <v>9900</v>
      </c>
      <c r="G61" s="55" t="s">
        <v>491</v>
      </c>
      <c r="H61" s="55" t="s">
        <v>585</v>
      </c>
      <c r="I61" s="76">
        <f>VLOOKUP(B61,'Caso 2 (Socios)'!$A$4:$G$73,4,FALSE)</f>
        <v>9500</v>
      </c>
      <c r="J61" s="75" t="str">
        <f t="shared" si="0"/>
        <v>No</v>
      </c>
      <c r="K61" s="80" t="str">
        <f t="shared" si="1"/>
        <v>✔️</v>
      </c>
      <c r="L61" s="56" t="str">
        <f t="shared" si="2"/>
        <v>Normal</v>
      </c>
      <c r="N61" s="2" cm="1">
        <f t="array" ref="N61">SUMPRODUCT(
  (B$4:B61=B61)*
  (E$4:E61="Depósito")*
  (F$4:F61&gt;=15000)*
  (F$4:F61&lt;=49999)*
  (D$4:D61&gt;=D61-5)*
  (D$4:D61&lt;=D61)
)</f>
        <v>0</v>
      </c>
      <c r="O61" s="2" cm="1">
        <f t="array" ref="O61">IF(AND(E61="Retiro",F61&gt;=40000,G61="Sucursal"),
  SUMPRODUCT(
    (B$4:B61=B61)*
    (E$4:E61="Depósito")*
    (F$4:F61&gt;=F61*0.8)*
    (D$4:D61&gt;=D61-3)*
    (D$4:D61&lt;D61)
  ),0)</f>
        <v>0</v>
      </c>
    </row>
    <row r="62" spans="1:15" ht="18" customHeight="1" x14ac:dyDescent="0.25">
      <c r="A62" s="75">
        <v>59</v>
      </c>
      <c r="B62" s="75">
        <v>44</v>
      </c>
      <c r="C62" s="56" t="s">
        <v>53</v>
      </c>
      <c r="D62" s="56" t="s">
        <v>586</v>
      </c>
      <c r="E62" s="56" t="s">
        <v>490</v>
      </c>
      <c r="F62" s="76">
        <v>15200</v>
      </c>
      <c r="G62" s="56" t="s">
        <v>494</v>
      </c>
      <c r="H62" s="56" t="s">
        <v>529</v>
      </c>
      <c r="I62" s="76">
        <f>VLOOKUP(B62,'Caso 2 (Socios)'!$A$4:$G$73,4,FALSE)</f>
        <v>14200</v>
      </c>
      <c r="J62" s="75" t="str">
        <f t="shared" si="0"/>
        <v>No</v>
      </c>
      <c r="K62" s="80" t="str">
        <f t="shared" si="1"/>
        <v>✔️</v>
      </c>
      <c r="L62" s="56" t="str">
        <f t="shared" si="2"/>
        <v>Normal</v>
      </c>
      <c r="N62" s="2" cm="1">
        <f t="array" ref="N62">SUMPRODUCT(
  (B$4:B62=B62)*
  (E$4:E62="Depósito")*
  (F$4:F62&gt;=15000)*
  (F$4:F62&lt;=49999)*
  (D$4:D62&gt;=D62-5)*
  (D$4:D62&lt;=D62)
)</f>
        <v>1</v>
      </c>
      <c r="O62" s="2" cm="1">
        <f t="array" ref="O62">IF(AND(E62="Retiro",F62&gt;=40000,G62="Sucursal"),
  SUMPRODUCT(
    (B$4:B62=B62)*
    (E$4:E62="Depósito")*
    (F$4:F62&gt;=F62*0.8)*
    (D$4:D62&gt;=D62-3)*
    (D$4:D62&lt;D62)
  ),0)</f>
        <v>0</v>
      </c>
    </row>
    <row r="63" spans="1:15" ht="18" customHeight="1" x14ac:dyDescent="0.25">
      <c r="A63" s="59">
        <v>60</v>
      </c>
      <c r="B63" s="59">
        <v>48</v>
      </c>
      <c r="C63" s="55" t="s">
        <v>57</v>
      </c>
      <c r="D63" s="55" t="s">
        <v>587</v>
      </c>
      <c r="E63" s="55" t="s">
        <v>490</v>
      </c>
      <c r="F63" s="77">
        <v>14100</v>
      </c>
      <c r="G63" s="55" t="s">
        <v>494</v>
      </c>
      <c r="H63" s="55" t="s">
        <v>497</v>
      </c>
      <c r="I63" s="76">
        <f>VLOOKUP(B63,'Caso 2 (Socios)'!$A$4:$G$73,4,FALSE)</f>
        <v>13800</v>
      </c>
      <c r="J63" s="75" t="str">
        <f t="shared" si="0"/>
        <v>No</v>
      </c>
      <c r="K63" s="80" t="str">
        <f t="shared" si="1"/>
        <v>✔️</v>
      </c>
      <c r="L63" s="56" t="str">
        <f t="shared" si="2"/>
        <v>Normal</v>
      </c>
      <c r="N63" s="2" cm="1">
        <f t="array" ref="N63">SUMPRODUCT(
  (B$4:B63=B63)*
  (E$4:E63="Depósito")*
  (F$4:F63&gt;=15000)*
  (F$4:F63&lt;=49999)*
  (D$4:D63&gt;=D63-5)*
  (D$4:D63&lt;=D63)
)</f>
        <v>0</v>
      </c>
      <c r="O63" s="2" cm="1">
        <f t="array" ref="O63">IF(AND(E63="Retiro",F63&gt;=40000,G63="Sucursal"),
  SUMPRODUCT(
    (B$4:B63=B63)*
    (E$4:E63="Depósito")*
    (F$4:F63&gt;=F63*0.8)*
    (D$4:D63&gt;=D63-3)*
    (D$4:D63&lt;D63)
  ),0)</f>
        <v>0</v>
      </c>
    </row>
    <row r="64" spans="1:15" ht="18" customHeight="1" x14ac:dyDescent="0.25">
      <c r="A64" s="75">
        <v>61</v>
      </c>
      <c r="B64" s="75">
        <v>52</v>
      </c>
      <c r="C64" s="56" t="s">
        <v>61</v>
      </c>
      <c r="D64" s="56" t="s">
        <v>588</v>
      </c>
      <c r="E64" s="56" t="s">
        <v>490</v>
      </c>
      <c r="F64" s="76">
        <v>11400</v>
      </c>
      <c r="G64" s="56" t="s">
        <v>491</v>
      </c>
      <c r="H64" s="56" t="s">
        <v>497</v>
      </c>
      <c r="I64" s="76">
        <f>VLOOKUP(B64,'Caso 2 (Socios)'!$A$4:$G$73,4,FALSE)</f>
        <v>11000</v>
      </c>
      <c r="J64" s="75" t="str">
        <f t="shared" si="0"/>
        <v>No</v>
      </c>
      <c r="K64" s="80" t="str">
        <f t="shared" si="1"/>
        <v>✔️</v>
      </c>
      <c r="L64" s="56" t="str">
        <f t="shared" si="2"/>
        <v>Normal</v>
      </c>
      <c r="N64" s="2" cm="1">
        <f t="array" ref="N64">SUMPRODUCT(
  (B$4:B64=B64)*
  (E$4:E64="Depósito")*
  (F$4:F64&gt;=15000)*
  (F$4:F64&lt;=49999)*
  (D$4:D64&gt;=D64-5)*
  (D$4:D64&lt;=D64)
)</f>
        <v>0</v>
      </c>
      <c r="O64" s="2" cm="1">
        <f t="array" ref="O64">IF(AND(E64="Retiro",F64&gt;=40000,G64="Sucursal"),
  SUMPRODUCT(
    (B$4:B64=B64)*
    (E$4:E64="Depósito")*
    (F$4:F64&gt;=F64*0.8)*
    (D$4:D64&gt;=D64-3)*
    (D$4:D64&lt;D64)
  ),0)</f>
        <v>0</v>
      </c>
    </row>
    <row r="65" spans="1:15" ht="18" customHeight="1" x14ac:dyDescent="0.25">
      <c r="A65" s="59">
        <v>62</v>
      </c>
      <c r="B65" s="59">
        <v>57</v>
      </c>
      <c r="C65" s="55" t="s">
        <v>469</v>
      </c>
      <c r="D65" s="55" t="s">
        <v>589</v>
      </c>
      <c r="E65" s="55" t="s">
        <v>490</v>
      </c>
      <c r="F65" s="77">
        <v>5000</v>
      </c>
      <c r="G65" s="55" t="s">
        <v>494</v>
      </c>
      <c r="H65" s="55" t="s">
        <v>513</v>
      </c>
      <c r="I65" s="76">
        <f>VLOOKUP(B65,'Caso 2 (Socios)'!$A$4:$G$73,4,FALSE)</f>
        <v>4500</v>
      </c>
      <c r="J65" s="75" t="str">
        <f t="shared" si="0"/>
        <v>No</v>
      </c>
      <c r="K65" s="80" t="str">
        <f t="shared" si="1"/>
        <v>✔️</v>
      </c>
      <c r="L65" s="56" t="str">
        <f t="shared" si="2"/>
        <v>Normal</v>
      </c>
      <c r="N65" s="2" cm="1">
        <f t="array" ref="N65">SUMPRODUCT(
  (B$4:B65=B65)*
  (E$4:E65="Depósito")*
  (F$4:F65&gt;=15000)*
  (F$4:F65&lt;=49999)*
  (D$4:D65&gt;=D65-5)*
  (D$4:D65&lt;=D65)
)</f>
        <v>0</v>
      </c>
      <c r="O65" s="2" cm="1">
        <f t="array" ref="O65">IF(AND(E65="Retiro",F65&gt;=40000,G65="Sucursal"),
  SUMPRODUCT(
    (B$4:B65=B65)*
    (E$4:E65="Depósito")*
    (F$4:F65&gt;=F65*0.8)*
    (D$4:D65&gt;=D65-3)*
    (D$4:D65&lt;D65)
  ),0)</f>
        <v>0</v>
      </c>
    </row>
    <row r="66" spans="1:15" ht="18" customHeight="1" x14ac:dyDescent="0.25">
      <c r="A66" s="75">
        <v>63</v>
      </c>
      <c r="B66" s="75">
        <v>12</v>
      </c>
      <c r="C66" s="56" t="s">
        <v>22</v>
      </c>
      <c r="D66" s="56" t="s">
        <v>590</v>
      </c>
      <c r="E66" s="56" t="s">
        <v>490</v>
      </c>
      <c r="F66" s="76">
        <v>16000</v>
      </c>
      <c r="G66" s="56" t="s">
        <v>494</v>
      </c>
      <c r="H66" s="56" t="s">
        <v>529</v>
      </c>
      <c r="I66" s="76">
        <f>VLOOKUP(B66,'Caso 2 (Socios)'!$A$4:$G$73,4,FALSE)</f>
        <v>14500</v>
      </c>
      <c r="J66" s="75" t="str">
        <f t="shared" si="0"/>
        <v>No</v>
      </c>
      <c r="K66" s="80" t="str">
        <f t="shared" si="1"/>
        <v>✔️</v>
      </c>
      <c r="L66" s="56" t="str">
        <f t="shared" si="2"/>
        <v>Normal</v>
      </c>
      <c r="N66" s="2" cm="1">
        <f t="array" ref="N66">SUMPRODUCT(
  (B$4:B66=B66)*
  (E$4:E66="Depósito")*
  (F$4:F66&gt;=15000)*
  (F$4:F66&lt;=49999)*
  (D$4:D66&gt;=D66-5)*
  (D$4:D66&lt;=D66)
)</f>
        <v>1</v>
      </c>
      <c r="O66" s="2" cm="1">
        <f t="array" ref="O66">IF(AND(E66="Retiro",F66&gt;=40000,G66="Sucursal"),
  SUMPRODUCT(
    (B$4:B66=B66)*
    (E$4:E66="Depósito")*
    (F$4:F66&gt;=F66*0.8)*
    (D$4:D66&gt;=D66-3)*
    (D$4:D66&lt;D66)
  ),0)</f>
        <v>0</v>
      </c>
    </row>
    <row r="67" spans="1:15" ht="18" customHeight="1" x14ac:dyDescent="0.25">
      <c r="A67" s="59">
        <v>64</v>
      </c>
      <c r="B67" s="59">
        <v>27</v>
      </c>
      <c r="C67" s="55" t="s">
        <v>37</v>
      </c>
      <c r="D67" s="55" t="s">
        <v>591</v>
      </c>
      <c r="E67" s="55" t="s">
        <v>490</v>
      </c>
      <c r="F67" s="77">
        <v>50000</v>
      </c>
      <c r="G67" s="55" t="s">
        <v>494</v>
      </c>
      <c r="H67" s="55" t="s">
        <v>532</v>
      </c>
      <c r="I67" s="76">
        <f>VLOOKUP(B67,'Caso 2 (Socios)'!$A$4:$G$73,4,FALSE)</f>
        <v>11000</v>
      </c>
      <c r="J67" s="75" t="str">
        <f t="shared" si="0"/>
        <v>Sí</v>
      </c>
      <c r="K67" s="80" t="str">
        <f t="shared" si="1"/>
        <v>⚠️</v>
      </c>
      <c r="L67" s="56" t="str">
        <f t="shared" si="2"/>
        <v>Monto alto + Inconsistencia</v>
      </c>
      <c r="N67" s="2" cm="1">
        <f t="array" ref="N67">SUMPRODUCT(
  (B$4:B67=B67)*
  (E$4:E67="Depósito")*
  (F$4:F67&gt;=15000)*
  (F$4:F67&lt;=49999)*
  (D$4:D67&gt;=D67-5)*
  (D$4:D67&lt;=D67)
)</f>
        <v>0</v>
      </c>
      <c r="O67" s="2" cm="1">
        <f t="array" ref="O67">IF(AND(E67="Retiro",F67&gt;=40000,G67="Sucursal"),
  SUMPRODUCT(
    (B$4:B67=B67)*
    (E$4:E67="Depósito")*
    (F$4:F67&gt;=F67*0.8)*
    (D$4:D67&gt;=D67-3)*
    (D$4:D67&lt;D67)
  ),0)</f>
        <v>0</v>
      </c>
    </row>
    <row r="68" spans="1:15" ht="18" customHeight="1" x14ac:dyDescent="0.25">
      <c r="A68" s="75">
        <v>65</v>
      </c>
      <c r="B68" s="75">
        <v>39</v>
      </c>
      <c r="C68" s="56" t="s">
        <v>48</v>
      </c>
      <c r="D68" s="56" t="s">
        <v>592</v>
      </c>
      <c r="E68" s="56" t="s">
        <v>548</v>
      </c>
      <c r="F68" s="76">
        <v>58000</v>
      </c>
      <c r="G68" s="56" t="s">
        <v>494</v>
      </c>
      <c r="H68" s="56" t="s">
        <v>593</v>
      </c>
      <c r="I68" s="76">
        <f>VLOOKUP(B68,'Caso 2 (Socios)'!$A$4:$G$73,4,FALSE)</f>
        <v>13500</v>
      </c>
      <c r="J68" s="75" t="str">
        <f t="shared" si="0"/>
        <v>Sí</v>
      </c>
      <c r="K68" s="80" t="str">
        <f t="shared" si="1"/>
        <v>⚠️</v>
      </c>
      <c r="L68" s="56" t="str">
        <f t="shared" si="2"/>
        <v>Monto alto + Inconsistencia</v>
      </c>
      <c r="N68" s="2" cm="1">
        <f t="array" ref="N68">SUMPRODUCT(
  (B$4:B68=B68)*
  (E$4:E68="Depósito")*
  (F$4:F68&gt;=15000)*
  (F$4:F68&lt;=49999)*
  (D$4:D68&gt;=D68-5)*
  (D$4:D68&lt;=D68)
)</f>
        <v>0</v>
      </c>
      <c r="O68" s="2" cm="1">
        <f t="array" ref="O68">IF(AND(E68="Retiro",F68&gt;=40000,G68="Sucursal"),
  SUMPRODUCT(
    (B$4:B68=B68)*
    (E$4:E68="Depósito")*
    (F$4:F68&gt;=F68*0.8)*
    (D$4:D68&gt;=D68-3)*
    (D$4:D68&lt;D68)
  ),0)</f>
        <v>0</v>
      </c>
    </row>
    <row r="69" spans="1:15" ht="18" customHeight="1" x14ac:dyDescent="0.25">
      <c r="A69" s="59">
        <v>66</v>
      </c>
      <c r="B69" s="59">
        <v>53</v>
      </c>
      <c r="C69" s="55" t="s">
        <v>62</v>
      </c>
      <c r="D69" s="55" t="s">
        <v>594</v>
      </c>
      <c r="E69" s="55" t="s">
        <v>490</v>
      </c>
      <c r="F69" s="77">
        <v>19800</v>
      </c>
      <c r="G69" s="55" t="s">
        <v>494</v>
      </c>
      <c r="H69" s="55" t="s">
        <v>517</v>
      </c>
      <c r="I69" s="76">
        <f>VLOOKUP(B69,'Caso 2 (Socios)'!$A$4:$G$73,4,FALSE)</f>
        <v>19500</v>
      </c>
      <c r="J69" s="75" t="str">
        <f t="shared" ref="J69:J132" si="3">IF(F69 &gt; I69*3, "Sí", "No")</f>
        <v>No</v>
      </c>
      <c r="K69" s="80" t="str">
        <f t="shared" ref="K69:K132" si="4">IF(L69="Normal", "✔️", "⚠️")</f>
        <v>⚠️</v>
      </c>
      <c r="L69" s="56" t="str">
        <f t="shared" ref="L69:L132" si="5">IF(AND(E69="Depósito",F69&gt;=50000,F69&gt;I69*3,G69="Sucursal"),"Monto alto + Inconsistencia",IF(AND(E69="Retiro",F69&gt;=50000,F69&gt;I69*3,G69="Sucursal"),"Monto alto + Inconsistencia",IF(AND(E69="Depósito",F69&gt;=50000,G69="Sucursal"),"Monto alto en efectivo",IF(AND(E69="Retiro",F69&gt;=40000,G69="Sucursal",O69&gt;=1),"Retiro inmediato",IF(AND(E69="Depósito",F69&gt;I69*3,F69&gt;=15000),"Inconsistencia de perfil",IF(AND(E69="Depósito",F69&gt;=15000,F69&lt;=49999,N69&gt;=2),"Posible fraccionamiento","Normal"))))))</f>
        <v>Posible fraccionamiento</v>
      </c>
      <c r="N69" s="2" cm="1">
        <f t="array" ref="N69">SUMPRODUCT(
  (B$4:B69=B69)*
  (E$4:E69="Depósito")*
  (F$4:F69&gt;=15000)*
  (F$4:F69&lt;=49999)*
  (D$4:D69&gt;=D69-5)*
  (D$4:D69&lt;=D69)
)</f>
        <v>2</v>
      </c>
      <c r="O69" s="2" cm="1">
        <f t="array" ref="O69">IF(AND(E69="Retiro",F69&gt;=40000,G69="Sucursal"),
  SUMPRODUCT(
    (B$4:B69=B69)*
    (E$4:E69="Depósito")*
    (F$4:F69&gt;=F69*0.8)*
    (D$4:D69&gt;=D69-3)*
    (D$4:D69&lt;D69)
  ),0)</f>
        <v>0</v>
      </c>
    </row>
    <row r="70" spans="1:15" ht="18" customHeight="1" x14ac:dyDescent="0.25">
      <c r="A70" s="75">
        <v>67</v>
      </c>
      <c r="B70" s="75">
        <v>59</v>
      </c>
      <c r="C70" s="56" t="s">
        <v>471</v>
      </c>
      <c r="D70" s="56" t="s">
        <v>595</v>
      </c>
      <c r="E70" s="56" t="s">
        <v>490</v>
      </c>
      <c r="F70" s="76">
        <v>6500</v>
      </c>
      <c r="G70" s="56" t="s">
        <v>491</v>
      </c>
      <c r="H70" s="56" t="s">
        <v>513</v>
      </c>
      <c r="I70" s="76">
        <f>VLOOKUP(B70,'Caso 2 (Socios)'!$A$4:$G$73,4,FALSE)</f>
        <v>6000</v>
      </c>
      <c r="J70" s="75" t="str">
        <f t="shared" si="3"/>
        <v>No</v>
      </c>
      <c r="K70" s="80" t="str">
        <f t="shared" si="4"/>
        <v>✔️</v>
      </c>
      <c r="L70" s="56" t="str">
        <f t="shared" si="5"/>
        <v>Normal</v>
      </c>
      <c r="N70" s="2" cm="1">
        <f t="array" ref="N70">SUMPRODUCT(
  (B$4:B70=B70)*
  (E$4:E70="Depósito")*
  (F$4:F70&gt;=15000)*
  (F$4:F70&lt;=49999)*
  (D$4:D70&gt;=D70-5)*
  (D$4:D70&lt;=D70)
)</f>
        <v>0</v>
      </c>
      <c r="O70" s="2" cm="1">
        <f t="array" ref="O70">IF(AND(E70="Retiro",F70&gt;=40000,G70="Sucursal"),
  SUMPRODUCT(
    (B$4:B70=B70)*
    (E$4:E70="Depósito")*
    (F$4:F70&gt;=F70*0.8)*
    (D$4:D70&gt;=D70-3)*
    (D$4:D70&lt;D70)
  ),0)</f>
        <v>0</v>
      </c>
    </row>
    <row r="71" spans="1:15" ht="18" customHeight="1" x14ac:dyDescent="0.25">
      <c r="A71" s="59">
        <v>68</v>
      </c>
      <c r="B71" s="59">
        <v>16</v>
      </c>
      <c r="C71" s="55" t="s">
        <v>26</v>
      </c>
      <c r="D71" s="55" t="s">
        <v>596</v>
      </c>
      <c r="E71" s="55" t="s">
        <v>490</v>
      </c>
      <c r="F71" s="77">
        <v>12800</v>
      </c>
      <c r="G71" s="55" t="s">
        <v>494</v>
      </c>
      <c r="H71" s="55" t="s">
        <v>497</v>
      </c>
      <c r="I71" s="76">
        <f>VLOOKUP(B71,'Caso 2 (Socios)'!$A$4:$G$73,4,FALSE)</f>
        <v>12500</v>
      </c>
      <c r="J71" s="75" t="str">
        <f t="shared" si="3"/>
        <v>No</v>
      </c>
      <c r="K71" s="80" t="str">
        <f t="shared" si="4"/>
        <v>✔️</v>
      </c>
      <c r="L71" s="56" t="str">
        <f t="shared" si="5"/>
        <v>Normal</v>
      </c>
      <c r="N71" s="2" cm="1">
        <f t="array" ref="N71">SUMPRODUCT(
  (B$4:B71=B71)*
  (E$4:E71="Depósito")*
  (F$4:F71&gt;=15000)*
  (F$4:F71&lt;=49999)*
  (D$4:D71&gt;=D71-5)*
  (D$4:D71&lt;=D71)
)</f>
        <v>0</v>
      </c>
      <c r="O71" s="2" cm="1">
        <f t="array" ref="O71">IF(AND(E71="Retiro",F71&gt;=40000,G71="Sucursal"),
  SUMPRODUCT(
    (B$4:B71=B71)*
    (E$4:E71="Depósito")*
    (F$4:F71&gt;=F71*0.8)*
    (D$4:D71&gt;=D71-3)*
    (D$4:D71&lt;D71)
  ),0)</f>
        <v>0</v>
      </c>
    </row>
    <row r="72" spans="1:15" ht="18" customHeight="1" x14ac:dyDescent="0.25">
      <c r="A72" s="75">
        <v>69</v>
      </c>
      <c r="B72" s="75">
        <v>22</v>
      </c>
      <c r="C72" s="56" t="s">
        <v>32</v>
      </c>
      <c r="D72" s="56" t="s">
        <v>597</v>
      </c>
      <c r="E72" s="56" t="s">
        <v>490</v>
      </c>
      <c r="F72" s="76">
        <v>14500</v>
      </c>
      <c r="G72" s="56" t="s">
        <v>494</v>
      </c>
      <c r="H72" s="56" t="s">
        <v>521</v>
      </c>
      <c r="I72" s="76">
        <f>VLOOKUP(B72,'Caso 2 (Socios)'!$A$4:$G$73,4,FALSE)</f>
        <v>14000</v>
      </c>
      <c r="J72" s="75" t="str">
        <f t="shared" si="3"/>
        <v>No</v>
      </c>
      <c r="K72" s="80" t="str">
        <f t="shared" si="4"/>
        <v>✔️</v>
      </c>
      <c r="L72" s="56" t="str">
        <f t="shared" si="5"/>
        <v>Normal</v>
      </c>
      <c r="N72" s="2" cm="1">
        <f t="array" ref="N72">SUMPRODUCT(
  (B$4:B72=B72)*
  (E$4:E72="Depósito")*
  (F$4:F72&gt;=15000)*
  (F$4:F72&lt;=49999)*
  (D$4:D72&gt;=D72-5)*
  (D$4:D72&lt;=D72)
)</f>
        <v>0</v>
      </c>
      <c r="O72" s="2" cm="1">
        <f t="array" ref="O72">IF(AND(E72="Retiro",F72&gt;=40000,G72="Sucursal"),
  SUMPRODUCT(
    (B$4:B72=B72)*
    (E$4:E72="Depósito")*
    (F$4:F72&gt;=F72*0.8)*
    (D$4:D72&gt;=D72-3)*
    (D$4:D72&lt;D72)
  ),0)</f>
        <v>0</v>
      </c>
    </row>
    <row r="73" spans="1:15" ht="18" customHeight="1" x14ac:dyDescent="0.25">
      <c r="A73" s="59">
        <v>70</v>
      </c>
      <c r="B73" s="59">
        <v>33</v>
      </c>
      <c r="C73" s="55" t="s">
        <v>42</v>
      </c>
      <c r="D73" s="55" t="s">
        <v>598</v>
      </c>
      <c r="E73" s="55" t="s">
        <v>490</v>
      </c>
      <c r="F73" s="77">
        <v>51000</v>
      </c>
      <c r="G73" s="55" t="s">
        <v>494</v>
      </c>
      <c r="H73" s="55" t="s">
        <v>566</v>
      </c>
      <c r="I73" s="76">
        <f>VLOOKUP(B73,'Caso 2 (Socios)'!$A$4:$G$73,4,FALSE)</f>
        <v>8700</v>
      </c>
      <c r="J73" s="75" t="str">
        <f t="shared" si="3"/>
        <v>Sí</v>
      </c>
      <c r="K73" s="80" t="str">
        <f t="shared" si="4"/>
        <v>⚠️</v>
      </c>
      <c r="L73" s="56" t="str">
        <f t="shared" si="5"/>
        <v>Monto alto + Inconsistencia</v>
      </c>
      <c r="N73" s="2" cm="1">
        <f t="array" ref="N73">SUMPRODUCT(
  (B$4:B73=B73)*
  (E$4:E73="Depósito")*
  (F$4:F73&gt;=15000)*
  (F$4:F73&lt;=49999)*
  (D$4:D73&gt;=D73-5)*
  (D$4:D73&lt;=D73)
)</f>
        <v>0</v>
      </c>
      <c r="O73" s="2" cm="1">
        <f t="array" ref="O73">IF(AND(E73="Retiro",F73&gt;=40000,G73="Sucursal"),
  SUMPRODUCT(
    (B$4:B73=B73)*
    (E$4:E73="Depósito")*
    (F$4:F73&gt;=F73*0.8)*
    (D$4:D73&gt;=D73-3)*
    (D$4:D73&lt;D73)
  ),0)</f>
        <v>0</v>
      </c>
    </row>
    <row r="74" spans="1:15" ht="18" customHeight="1" x14ac:dyDescent="0.25">
      <c r="A74" s="75">
        <v>71</v>
      </c>
      <c r="B74" s="75">
        <v>40</v>
      </c>
      <c r="C74" s="56" t="s">
        <v>49</v>
      </c>
      <c r="D74" s="56" t="s">
        <v>599</v>
      </c>
      <c r="E74" s="56" t="s">
        <v>490</v>
      </c>
      <c r="F74" s="76">
        <v>11600</v>
      </c>
      <c r="G74" s="56" t="s">
        <v>491</v>
      </c>
      <c r="H74" s="56" t="s">
        <v>497</v>
      </c>
      <c r="I74" s="76">
        <f>VLOOKUP(B74,'Caso 2 (Socios)'!$A$4:$G$73,4,FALSE)</f>
        <v>11200</v>
      </c>
      <c r="J74" s="75" t="str">
        <f t="shared" si="3"/>
        <v>No</v>
      </c>
      <c r="K74" s="80" t="str">
        <f t="shared" si="4"/>
        <v>✔️</v>
      </c>
      <c r="L74" s="56" t="str">
        <f t="shared" si="5"/>
        <v>Normal</v>
      </c>
      <c r="N74" s="2" cm="1">
        <f t="array" ref="N74">SUMPRODUCT(
  (B$4:B74=B74)*
  (E$4:E74="Depósito")*
  (F$4:F74&gt;=15000)*
  (F$4:F74&lt;=49999)*
  (D$4:D74&gt;=D74-5)*
  (D$4:D74&lt;=D74)
)</f>
        <v>0</v>
      </c>
      <c r="O74" s="2" cm="1">
        <f t="array" ref="O74">IF(AND(E74="Retiro",F74&gt;=40000,G74="Sucursal"),
  SUMPRODUCT(
    (B$4:B74=B74)*
    (E$4:E74="Depósito")*
    (F$4:F74&gt;=F74*0.8)*
    (D$4:D74&gt;=D74-3)*
    (D$4:D74&lt;D74)
  ),0)</f>
        <v>0</v>
      </c>
    </row>
    <row r="75" spans="1:15" ht="18" customHeight="1" x14ac:dyDescent="0.25">
      <c r="A75" s="59">
        <v>72</v>
      </c>
      <c r="B75" s="59">
        <v>45</v>
      </c>
      <c r="C75" s="55" t="s">
        <v>54</v>
      </c>
      <c r="D75" s="55" t="s">
        <v>588</v>
      </c>
      <c r="E75" s="55" t="s">
        <v>490</v>
      </c>
      <c r="F75" s="77">
        <v>24800</v>
      </c>
      <c r="G75" s="55" t="s">
        <v>494</v>
      </c>
      <c r="H75" s="55" t="s">
        <v>544</v>
      </c>
      <c r="I75" s="76">
        <f>VLOOKUP(B75,'Caso 2 (Socios)'!$A$4:$G$73,4,FALSE)</f>
        <v>24000</v>
      </c>
      <c r="J75" s="75" t="str">
        <f t="shared" si="3"/>
        <v>No</v>
      </c>
      <c r="K75" s="80" t="str">
        <f t="shared" si="4"/>
        <v>⚠️</v>
      </c>
      <c r="L75" s="56" t="str">
        <f t="shared" si="5"/>
        <v>Posible fraccionamiento</v>
      </c>
      <c r="N75" s="2" cm="1">
        <f t="array" ref="N75">SUMPRODUCT(
  (B$4:B75=B75)*
  (E$4:E75="Depósito")*
  (F$4:F75&gt;=15000)*
  (F$4:F75&lt;=49999)*
  (D$4:D75&gt;=D75-5)*
  (D$4:D75&lt;=D75)
)</f>
        <v>2</v>
      </c>
      <c r="O75" s="2" cm="1">
        <f t="array" ref="O75">IF(AND(E75="Retiro",F75&gt;=40000,G75="Sucursal"),
  SUMPRODUCT(
    (B$4:B75=B75)*
    (E$4:E75="Depósito")*
    (F$4:F75&gt;=F75*0.8)*
    (D$4:D75&gt;=D75-3)*
    (D$4:D75&lt;D75)
  ),0)</f>
        <v>0</v>
      </c>
    </row>
    <row r="76" spans="1:15" ht="18" customHeight="1" x14ac:dyDescent="0.25">
      <c r="A76" s="75">
        <v>73</v>
      </c>
      <c r="B76" s="75">
        <v>50</v>
      </c>
      <c r="C76" s="56" t="s">
        <v>59</v>
      </c>
      <c r="D76" s="56" t="s">
        <v>590</v>
      </c>
      <c r="E76" s="56" t="s">
        <v>490</v>
      </c>
      <c r="F76" s="76">
        <v>5400</v>
      </c>
      <c r="G76" s="56" t="s">
        <v>491</v>
      </c>
      <c r="H76" s="56" t="s">
        <v>513</v>
      </c>
      <c r="I76" s="76">
        <f>VLOOKUP(B76,'Caso 2 (Socios)'!$A$4:$G$73,4,FALSE)</f>
        <v>5000</v>
      </c>
      <c r="J76" s="75" t="str">
        <f t="shared" si="3"/>
        <v>No</v>
      </c>
      <c r="K76" s="80" t="str">
        <f t="shared" si="4"/>
        <v>✔️</v>
      </c>
      <c r="L76" s="56" t="str">
        <f t="shared" si="5"/>
        <v>Normal</v>
      </c>
      <c r="N76" s="2" cm="1">
        <f t="array" ref="N76">SUMPRODUCT(
  (B$4:B76=B76)*
  (E$4:E76="Depósito")*
  (F$4:F76&gt;=15000)*
  (F$4:F76&lt;=49999)*
  (D$4:D76&gt;=D76-5)*
  (D$4:D76&lt;=D76)
)</f>
        <v>0</v>
      </c>
      <c r="O76" s="2" cm="1">
        <f t="array" ref="O76">IF(AND(E76="Retiro",F76&gt;=40000,G76="Sucursal"),
  SUMPRODUCT(
    (B$4:B76=B76)*
    (E$4:E76="Depósito")*
    (F$4:F76&gt;=F76*0.8)*
    (D$4:D76&gt;=D76-3)*
    (D$4:D76&lt;D76)
  ),0)</f>
        <v>0</v>
      </c>
    </row>
    <row r="77" spans="1:15" ht="18" customHeight="1" x14ac:dyDescent="0.25">
      <c r="A77" s="59">
        <v>74</v>
      </c>
      <c r="B77" s="59">
        <v>54</v>
      </c>
      <c r="C77" s="55" t="s">
        <v>63</v>
      </c>
      <c r="D77" s="55" t="s">
        <v>591</v>
      </c>
      <c r="E77" s="55" t="s">
        <v>490</v>
      </c>
      <c r="F77" s="77">
        <v>16200</v>
      </c>
      <c r="G77" s="55" t="s">
        <v>494</v>
      </c>
      <c r="H77" s="55" t="s">
        <v>529</v>
      </c>
      <c r="I77" s="76">
        <f>VLOOKUP(B77,'Caso 2 (Socios)'!$A$4:$G$73,4,FALSE)</f>
        <v>15500</v>
      </c>
      <c r="J77" s="75" t="str">
        <f t="shared" si="3"/>
        <v>No</v>
      </c>
      <c r="K77" s="80" t="str">
        <f t="shared" si="4"/>
        <v>✔️</v>
      </c>
      <c r="L77" s="56" t="str">
        <f t="shared" si="5"/>
        <v>Normal</v>
      </c>
      <c r="N77" s="2" cm="1">
        <f t="array" ref="N77">SUMPRODUCT(
  (B$4:B77=B77)*
  (E$4:E77="Depósito")*
  (F$4:F77&gt;=15000)*
  (F$4:F77&lt;=49999)*
  (D$4:D77&gt;=D77-5)*
  (D$4:D77&lt;=D77)
)</f>
        <v>1</v>
      </c>
      <c r="O77" s="2" cm="1">
        <f t="array" ref="O77">IF(AND(E77="Retiro",F77&gt;=40000,G77="Sucursal"),
  SUMPRODUCT(
    (B$4:B77=B77)*
    (E$4:E77="Depósito")*
    (F$4:F77&gt;=F77*0.8)*
    (D$4:D77&gt;=D77-3)*
    (D$4:D77&lt;D77)
  ),0)</f>
        <v>0</v>
      </c>
    </row>
    <row r="78" spans="1:15" ht="18" customHeight="1" x14ac:dyDescent="0.25">
      <c r="A78" s="75">
        <v>75</v>
      </c>
      <c r="B78" s="75">
        <v>60</v>
      </c>
      <c r="C78" s="56" t="s">
        <v>472</v>
      </c>
      <c r="D78" s="56" t="s">
        <v>592</v>
      </c>
      <c r="E78" s="56" t="s">
        <v>490</v>
      </c>
      <c r="F78" s="76">
        <v>23000</v>
      </c>
      <c r="G78" s="56" t="s">
        <v>494</v>
      </c>
      <c r="H78" s="56" t="s">
        <v>544</v>
      </c>
      <c r="I78" s="76">
        <f>VLOOKUP(B78,'Caso 2 (Socios)'!$A$4:$G$73,4,FALSE)</f>
        <v>22000</v>
      </c>
      <c r="J78" s="75" t="str">
        <f t="shared" si="3"/>
        <v>No</v>
      </c>
      <c r="K78" s="80" t="str">
        <f t="shared" si="4"/>
        <v>✔️</v>
      </c>
      <c r="L78" s="56" t="str">
        <f t="shared" si="5"/>
        <v>Normal</v>
      </c>
      <c r="N78" s="2" cm="1">
        <f t="array" ref="N78">SUMPRODUCT(
  (B$4:B78=B78)*
  (E$4:E78="Depósito")*
  (F$4:F78&gt;=15000)*
  (F$4:F78&lt;=49999)*
  (D$4:D78&gt;=D78-5)*
  (D$4:D78&lt;=D78)
)</f>
        <v>1</v>
      </c>
      <c r="O78" s="2" cm="1">
        <f t="array" ref="O78">IF(AND(E78="Retiro",F78&gt;=40000,G78="Sucursal"),
  SUMPRODUCT(
    (B$4:B78=B78)*
    (E$4:E78="Depósito")*
    (F$4:F78&gt;=F78*0.8)*
    (D$4:D78&gt;=D78-3)*
    (D$4:D78&lt;D78)
  ),0)</f>
        <v>0</v>
      </c>
    </row>
    <row r="79" spans="1:15" ht="18" customHeight="1" x14ac:dyDescent="0.25">
      <c r="A79" s="59">
        <v>76</v>
      </c>
      <c r="B79" s="59">
        <v>28</v>
      </c>
      <c r="C79" s="55" t="s">
        <v>38</v>
      </c>
      <c r="D79" s="55" t="s">
        <v>595</v>
      </c>
      <c r="E79" s="55" t="s">
        <v>490</v>
      </c>
      <c r="F79" s="77">
        <v>23800</v>
      </c>
      <c r="G79" s="55" t="s">
        <v>494</v>
      </c>
      <c r="H79" s="55" t="s">
        <v>544</v>
      </c>
      <c r="I79" s="76">
        <f>VLOOKUP(B79,'Caso 2 (Socios)'!$A$4:$G$73,4,FALSE)</f>
        <v>23000</v>
      </c>
      <c r="J79" s="75" t="str">
        <f t="shared" si="3"/>
        <v>No</v>
      </c>
      <c r="K79" s="80" t="str">
        <f t="shared" si="4"/>
        <v>⚠️</v>
      </c>
      <c r="L79" s="56" t="str">
        <f t="shared" si="5"/>
        <v>Posible fraccionamiento</v>
      </c>
      <c r="N79" s="2" cm="1">
        <f t="array" ref="N79">SUMPRODUCT(
  (B$4:B79=B79)*
  (E$4:E79="Depósito")*
  (F$4:F79&gt;=15000)*
  (F$4:F79&lt;=49999)*
  (D$4:D79&gt;=D79-5)*
  (D$4:D79&lt;=D79)
)</f>
        <v>2</v>
      </c>
      <c r="O79" s="2" cm="1">
        <f t="array" ref="O79">IF(AND(E79="Retiro",F79&gt;=40000,G79="Sucursal"),
  SUMPRODUCT(
    (B$4:B79=B79)*
    (E$4:E79="Depósito")*
    (F$4:F79&gt;=F79*0.8)*
    (D$4:D79&gt;=D79-3)*
    (D$4:D79&lt;D79)
  ),0)</f>
        <v>0</v>
      </c>
    </row>
    <row r="80" spans="1:15" ht="18" customHeight="1" x14ac:dyDescent="0.25">
      <c r="A80" s="75">
        <v>77</v>
      </c>
      <c r="B80" s="75">
        <v>36</v>
      </c>
      <c r="C80" s="56" t="s">
        <v>45</v>
      </c>
      <c r="D80" s="56" t="s">
        <v>597</v>
      </c>
      <c r="E80" s="56" t="s">
        <v>490</v>
      </c>
      <c r="F80" s="76">
        <v>15500</v>
      </c>
      <c r="G80" s="56" t="s">
        <v>491</v>
      </c>
      <c r="H80" s="56" t="s">
        <v>497</v>
      </c>
      <c r="I80" s="76">
        <f>VLOOKUP(B80,'Caso 2 (Socios)'!$A$4:$G$73,4,FALSE)</f>
        <v>15000</v>
      </c>
      <c r="J80" s="75" t="str">
        <f t="shared" si="3"/>
        <v>No</v>
      </c>
      <c r="K80" s="80" t="str">
        <f t="shared" si="4"/>
        <v>⚠️</v>
      </c>
      <c r="L80" s="56" t="str">
        <f t="shared" si="5"/>
        <v>Posible fraccionamiento</v>
      </c>
      <c r="N80" s="2" cm="1">
        <f t="array" ref="N80">SUMPRODUCT(
  (B$4:B80=B80)*
  (E$4:E80="Depósito")*
  (F$4:F80&gt;=15000)*
  (F$4:F80&lt;=49999)*
  (D$4:D80&gt;=D80-5)*
  (D$4:D80&lt;=D80)
)</f>
        <v>2</v>
      </c>
      <c r="O80" s="2" cm="1">
        <f t="array" ref="O80">IF(AND(E80="Retiro",F80&gt;=40000,G80="Sucursal"),
  SUMPRODUCT(
    (B$4:B80=B80)*
    (E$4:E80="Depósito")*
    (F$4:F80&gt;=F80*0.8)*
    (D$4:D80&gt;=D80-3)*
    (D$4:D80&lt;D80)
  ),0)</f>
        <v>0</v>
      </c>
    </row>
    <row r="81" spans="1:15" ht="18" customHeight="1" x14ac:dyDescent="0.25">
      <c r="A81" s="59">
        <v>78</v>
      </c>
      <c r="B81" s="59">
        <v>43</v>
      </c>
      <c r="C81" s="55" t="s">
        <v>52</v>
      </c>
      <c r="D81" s="55" t="s">
        <v>599</v>
      </c>
      <c r="E81" s="55" t="s">
        <v>490</v>
      </c>
      <c r="F81" s="77">
        <v>9100</v>
      </c>
      <c r="G81" s="55" t="s">
        <v>494</v>
      </c>
      <c r="H81" s="55" t="s">
        <v>551</v>
      </c>
      <c r="I81" s="76">
        <f>VLOOKUP(B81,'Caso 2 (Socios)'!$A$4:$G$73,4,FALSE)</f>
        <v>8400</v>
      </c>
      <c r="J81" s="75" t="str">
        <f t="shared" si="3"/>
        <v>No</v>
      </c>
      <c r="K81" s="80" t="str">
        <f t="shared" si="4"/>
        <v>✔️</v>
      </c>
      <c r="L81" s="56" t="str">
        <f t="shared" si="5"/>
        <v>Normal</v>
      </c>
      <c r="N81" s="2" cm="1">
        <f t="array" ref="N81">SUMPRODUCT(
  (B$4:B81=B81)*
  (E$4:E81="Depósito")*
  (F$4:F81&gt;=15000)*
  (F$4:F81&lt;=49999)*
  (D$4:D81&gt;=D81-5)*
  (D$4:D81&lt;=D81)
)</f>
        <v>0</v>
      </c>
      <c r="O81" s="2" cm="1">
        <f t="array" ref="O81">IF(AND(E81="Retiro",F81&gt;=40000,G81="Sucursal"),
  SUMPRODUCT(
    (B$4:B81=B81)*
    (E$4:E81="Depósito")*
    (F$4:F81&gt;=F81*0.8)*
    (D$4:D81&gt;=D81-3)*
    (D$4:D81&lt;D81)
  ),0)</f>
        <v>0</v>
      </c>
    </row>
    <row r="82" spans="1:15" ht="18" customHeight="1" x14ac:dyDescent="0.25">
      <c r="A82" s="75">
        <v>79</v>
      </c>
      <c r="B82" s="75">
        <v>17</v>
      </c>
      <c r="C82" s="56" t="s">
        <v>27</v>
      </c>
      <c r="D82" s="56" t="s">
        <v>589</v>
      </c>
      <c r="E82" s="56" t="s">
        <v>548</v>
      </c>
      <c r="F82" s="76">
        <v>95000</v>
      </c>
      <c r="G82" s="56" t="s">
        <v>494</v>
      </c>
      <c r="H82" s="56" t="s">
        <v>600</v>
      </c>
      <c r="I82" s="76">
        <f>VLOOKUP(B82,'Caso 2 (Socios)'!$A$4:$G$73,4,FALSE)</f>
        <v>16000</v>
      </c>
      <c r="J82" s="75" t="str">
        <f t="shared" si="3"/>
        <v>Sí</v>
      </c>
      <c r="K82" s="80" t="str">
        <f t="shared" si="4"/>
        <v>⚠️</v>
      </c>
      <c r="L82" s="56" t="str">
        <f t="shared" si="5"/>
        <v>Monto alto + Inconsistencia</v>
      </c>
      <c r="N82" s="2" cm="1">
        <f t="array" ref="N82">SUMPRODUCT(
  (B$4:B82=B82)*
  (E$4:E82="Depósito")*
  (F$4:F82&gt;=15000)*
  (F$4:F82&lt;=49999)*
  (D$4:D82&gt;=D82-5)*
  (D$4:D82&lt;=D82)
)</f>
        <v>0</v>
      </c>
      <c r="O82" s="2" cm="1">
        <f t="array" ref="O82">IF(AND(E82="Retiro",F82&gt;=40000,G82="Sucursal"),
  SUMPRODUCT(
    (B$4:B82=B82)*
    (E$4:E82="Depósito")*
    (F$4:F82&gt;=F82*0.8)*
    (D$4:D82&gt;=D82-3)*
    (D$4:D82&lt;D82)
  ),0)</f>
        <v>0</v>
      </c>
    </row>
    <row r="83" spans="1:15" ht="18" customHeight="1" x14ac:dyDescent="0.25">
      <c r="A83" s="59">
        <v>80</v>
      </c>
      <c r="B83" s="59">
        <v>31</v>
      </c>
      <c r="C83" s="55" t="s">
        <v>41</v>
      </c>
      <c r="D83" s="55" t="s">
        <v>594</v>
      </c>
      <c r="E83" s="55" t="s">
        <v>490</v>
      </c>
      <c r="F83" s="77">
        <v>68000</v>
      </c>
      <c r="G83" s="55" t="s">
        <v>494</v>
      </c>
      <c r="H83" s="55" t="s">
        <v>601</v>
      </c>
      <c r="I83" s="76">
        <f>VLOOKUP(B83,'Caso 2 (Socios)'!$A$4:$G$73,4,FALSE)</f>
        <v>25000</v>
      </c>
      <c r="J83" s="75" t="str">
        <f t="shared" si="3"/>
        <v>No</v>
      </c>
      <c r="K83" s="80" t="str">
        <f t="shared" si="4"/>
        <v>⚠️</v>
      </c>
      <c r="L83" s="56" t="str">
        <f t="shared" si="5"/>
        <v>Monto alto en efectivo</v>
      </c>
      <c r="N83" s="2" cm="1">
        <f t="array" ref="N83">SUMPRODUCT(
  (B$4:B83=B83)*
  (E$4:E83="Depósito")*
  (F$4:F83&gt;=15000)*
  (F$4:F83&lt;=49999)*
  (D$4:D83&gt;=D83-5)*
  (D$4:D83&lt;=D83)
)</f>
        <v>1</v>
      </c>
      <c r="O83" s="2" cm="1">
        <f t="array" ref="O83">IF(AND(E83="Retiro",F83&gt;=40000,G83="Sucursal"),
  SUMPRODUCT(
    (B$4:B83=B83)*
    (E$4:E83="Depósito")*
    (F$4:F83&gt;=F83*0.8)*
    (D$4:D83&gt;=D83-3)*
    (D$4:D83&lt;D83)
  ),0)</f>
        <v>0</v>
      </c>
    </row>
    <row r="84" spans="1:15" ht="18" customHeight="1" x14ac:dyDescent="0.25">
      <c r="A84" s="75">
        <v>81</v>
      </c>
      <c r="B84" s="75">
        <v>10</v>
      </c>
      <c r="C84" s="56" t="s">
        <v>20</v>
      </c>
      <c r="D84" s="56" t="s">
        <v>602</v>
      </c>
      <c r="E84" s="56" t="s">
        <v>490</v>
      </c>
      <c r="F84" s="76">
        <v>8700</v>
      </c>
      <c r="G84" s="56" t="s">
        <v>491</v>
      </c>
      <c r="H84" s="56" t="s">
        <v>492</v>
      </c>
      <c r="I84" s="76">
        <f>VLOOKUP(B84,'Caso 2 (Socios)'!$A$4:$G$73,4,FALSE)</f>
        <v>8200</v>
      </c>
      <c r="J84" s="75" t="str">
        <f t="shared" si="3"/>
        <v>No</v>
      </c>
      <c r="K84" s="80" t="str">
        <f t="shared" si="4"/>
        <v>✔️</v>
      </c>
      <c r="L84" s="56" t="str">
        <f t="shared" si="5"/>
        <v>Normal</v>
      </c>
      <c r="N84" s="2" cm="1">
        <f t="array" ref="N84">SUMPRODUCT(
  (B$4:B84=B84)*
  (E$4:E84="Depósito")*
  (F$4:F84&gt;=15000)*
  (F$4:F84&lt;=49999)*
  (D$4:D84&gt;=D84-5)*
  (D$4:D84&lt;=D84)
)</f>
        <v>0</v>
      </c>
      <c r="O84" s="2" cm="1">
        <f t="array" ref="O84">IF(AND(E84="Retiro",F84&gt;=40000,G84="Sucursal"),
  SUMPRODUCT(
    (B$4:B84=B84)*
    (E$4:E84="Depósito")*
    (F$4:F84&gt;=F84*0.8)*
    (D$4:D84&gt;=D84-3)*
    (D$4:D84&lt;D84)
  ),0)</f>
        <v>0</v>
      </c>
    </row>
    <row r="85" spans="1:15" ht="18" customHeight="1" x14ac:dyDescent="0.25">
      <c r="A85" s="59">
        <v>82</v>
      </c>
      <c r="B85" s="59">
        <v>14</v>
      </c>
      <c r="C85" s="55" t="s">
        <v>24</v>
      </c>
      <c r="D85" s="55" t="s">
        <v>603</v>
      </c>
      <c r="E85" s="55" t="s">
        <v>490</v>
      </c>
      <c r="F85" s="77">
        <v>13500</v>
      </c>
      <c r="G85" s="55" t="s">
        <v>494</v>
      </c>
      <c r="H85" s="55" t="s">
        <v>497</v>
      </c>
      <c r="I85" s="76">
        <f>VLOOKUP(B85,'Caso 2 (Socios)'!$A$4:$G$73,4,FALSE)</f>
        <v>13000</v>
      </c>
      <c r="J85" s="75" t="str">
        <f t="shared" si="3"/>
        <v>No</v>
      </c>
      <c r="K85" s="80" t="str">
        <f t="shared" si="4"/>
        <v>✔️</v>
      </c>
      <c r="L85" s="56" t="str">
        <f t="shared" si="5"/>
        <v>Normal</v>
      </c>
      <c r="N85" s="2" cm="1">
        <f t="array" ref="N85">SUMPRODUCT(
  (B$4:B85=B85)*
  (E$4:E85="Depósito")*
  (F$4:F85&gt;=15000)*
  (F$4:F85&lt;=49999)*
  (D$4:D85&gt;=D85-5)*
  (D$4:D85&lt;=D85)
)</f>
        <v>0</v>
      </c>
      <c r="O85" s="2" cm="1">
        <f t="array" ref="O85">IF(AND(E85="Retiro",F85&gt;=40000,G85="Sucursal"),
  SUMPRODUCT(
    (B$4:B85=B85)*
    (E$4:E85="Depósito")*
    (F$4:F85&gt;=F85*0.8)*
    (D$4:D85&gt;=D85-3)*
    (D$4:D85&lt;D85)
  ),0)</f>
        <v>0</v>
      </c>
    </row>
    <row r="86" spans="1:15" ht="18" customHeight="1" x14ac:dyDescent="0.25">
      <c r="A86" s="75">
        <v>83</v>
      </c>
      <c r="B86" s="75">
        <v>20</v>
      </c>
      <c r="C86" s="56" t="s">
        <v>30</v>
      </c>
      <c r="D86" s="56" t="s">
        <v>604</v>
      </c>
      <c r="E86" s="56" t="s">
        <v>490</v>
      </c>
      <c r="F86" s="76">
        <v>7400</v>
      </c>
      <c r="G86" s="56" t="s">
        <v>491</v>
      </c>
      <c r="H86" s="56" t="s">
        <v>499</v>
      </c>
      <c r="I86" s="76">
        <f>VLOOKUP(B86,'Caso 2 (Socios)'!$A$4:$G$73,4,FALSE)</f>
        <v>6800</v>
      </c>
      <c r="J86" s="75" t="str">
        <f t="shared" si="3"/>
        <v>No</v>
      </c>
      <c r="K86" s="80" t="str">
        <f t="shared" si="4"/>
        <v>✔️</v>
      </c>
      <c r="L86" s="56" t="str">
        <f t="shared" si="5"/>
        <v>Normal</v>
      </c>
      <c r="N86" s="2" cm="1">
        <f t="array" ref="N86">SUMPRODUCT(
  (B$4:B86=B86)*
  (E$4:E86="Depósito")*
  (F$4:F86&gt;=15000)*
  (F$4:F86&lt;=49999)*
  (D$4:D86&gt;=D86-5)*
  (D$4:D86&lt;=D86)
)</f>
        <v>0</v>
      </c>
      <c r="O86" s="2" cm="1">
        <f t="array" ref="O86">IF(AND(E86="Retiro",F86&gt;=40000,G86="Sucursal"),
  SUMPRODUCT(
    (B$4:B86=B86)*
    (E$4:E86="Depósito")*
    (F$4:F86&gt;=F86*0.8)*
    (D$4:D86&gt;=D86-3)*
    (D$4:D86&lt;D86)
  ),0)</f>
        <v>0</v>
      </c>
    </row>
    <row r="87" spans="1:15" ht="18" customHeight="1" x14ac:dyDescent="0.25">
      <c r="A87" s="59">
        <v>84</v>
      </c>
      <c r="B87" s="59">
        <v>24</v>
      </c>
      <c r="C87" s="55" t="s">
        <v>34</v>
      </c>
      <c r="D87" s="55" t="s">
        <v>605</v>
      </c>
      <c r="E87" s="55" t="s">
        <v>490</v>
      </c>
      <c r="F87" s="77">
        <v>5100</v>
      </c>
      <c r="G87" s="55" t="s">
        <v>491</v>
      </c>
      <c r="H87" s="55" t="s">
        <v>513</v>
      </c>
      <c r="I87" s="76">
        <f>VLOOKUP(B87,'Caso 2 (Socios)'!$A$4:$G$73,4,FALSE)</f>
        <v>4500</v>
      </c>
      <c r="J87" s="75" t="str">
        <f t="shared" si="3"/>
        <v>No</v>
      </c>
      <c r="K87" s="80" t="str">
        <f t="shared" si="4"/>
        <v>✔️</v>
      </c>
      <c r="L87" s="56" t="str">
        <f t="shared" si="5"/>
        <v>Normal</v>
      </c>
      <c r="N87" s="2" cm="1">
        <f t="array" ref="N87">SUMPRODUCT(
  (B$4:B87=B87)*
  (E$4:E87="Depósito")*
  (F$4:F87&gt;=15000)*
  (F$4:F87&lt;=49999)*
  (D$4:D87&gt;=D87-5)*
  (D$4:D87&lt;=D87)
)</f>
        <v>0</v>
      </c>
      <c r="O87" s="2" cm="1">
        <f t="array" ref="O87">IF(AND(E87="Retiro",F87&gt;=40000,G87="Sucursal"),
  SUMPRODUCT(
    (B$4:B87=B87)*
    (E$4:E87="Depósito")*
    (F$4:F87&gt;=F87*0.8)*
    (D$4:D87&gt;=D87-3)*
    (D$4:D87&lt;D87)
  ),0)</f>
        <v>0</v>
      </c>
    </row>
    <row r="88" spans="1:15" ht="18" customHeight="1" x14ac:dyDescent="0.25">
      <c r="A88" s="75">
        <v>85</v>
      </c>
      <c r="B88" s="75">
        <v>27</v>
      </c>
      <c r="C88" s="56" t="s">
        <v>37</v>
      </c>
      <c r="D88" s="56" t="s">
        <v>606</v>
      </c>
      <c r="E88" s="56" t="s">
        <v>490</v>
      </c>
      <c r="F88" s="76">
        <v>52000</v>
      </c>
      <c r="G88" s="56" t="s">
        <v>494</v>
      </c>
      <c r="H88" s="56" t="s">
        <v>532</v>
      </c>
      <c r="I88" s="76">
        <f>VLOOKUP(B88,'Caso 2 (Socios)'!$A$4:$G$73,4,FALSE)</f>
        <v>11000</v>
      </c>
      <c r="J88" s="75" t="str">
        <f t="shared" si="3"/>
        <v>Sí</v>
      </c>
      <c r="K88" s="80" t="str">
        <f t="shared" si="4"/>
        <v>⚠️</v>
      </c>
      <c r="L88" s="56" t="str">
        <f t="shared" si="5"/>
        <v>Monto alto + Inconsistencia</v>
      </c>
      <c r="N88" s="2" cm="1">
        <f t="array" ref="N88">SUMPRODUCT(
  (B$4:B88=B88)*
  (E$4:E88="Depósito")*
  (F$4:F88&gt;=15000)*
  (F$4:F88&lt;=49999)*
  (D$4:D88&gt;=D88-5)*
  (D$4:D88&lt;=D88)
)</f>
        <v>0</v>
      </c>
      <c r="O88" s="2" cm="1">
        <f t="array" ref="O88">IF(AND(E88="Retiro",F88&gt;=40000,G88="Sucursal"),
  SUMPRODUCT(
    (B$4:B88=B88)*
    (E$4:E88="Depósito")*
    (F$4:F88&gt;=F88*0.8)*
    (D$4:D88&gt;=D88-3)*
    (D$4:D88&lt;D88)
  ),0)</f>
        <v>0</v>
      </c>
    </row>
    <row r="89" spans="1:15" ht="18" customHeight="1" x14ac:dyDescent="0.25">
      <c r="A89" s="59">
        <v>86</v>
      </c>
      <c r="B89" s="59">
        <v>30</v>
      </c>
      <c r="C89" s="55" t="s">
        <v>40</v>
      </c>
      <c r="D89" s="55" t="s">
        <v>607</v>
      </c>
      <c r="E89" s="55" t="s">
        <v>490</v>
      </c>
      <c r="F89" s="77">
        <v>10700</v>
      </c>
      <c r="G89" s="55" t="s">
        <v>494</v>
      </c>
      <c r="H89" s="55" t="s">
        <v>497</v>
      </c>
      <c r="I89" s="76">
        <f>VLOOKUP(B89,'Caso 2 (Socios)'!$A$4:$G$73,4,FALSE)</f>
        <v>10200</v>
      </c>
      <c r="J89" s="75" t="str">
        <f t="shared" si="3"/>
        <v>No</v>
      </c>
      <c r="K89" s="80" t="str">
        <f t="shared" si="4"/>
        <v>✔️</v>
      </c>
      <c r="L89" s="56" t="str">
        <f t="shared" si="5"/>
        <v>Normal</v>
      </c>
      <c r="N89" s="2" cm="1">
        <f t="array" ref="N89">SUMPRODUCT(
  (B$4:B89=B89)*
  (E$4:E89="Depósito")*
  (F$4:F89&gt;=15000)*
  (F$4:F89&lt;=49999)*
  (D$4:D89&gt;=D89-5)*
  (D$4:D89&lt;=D89)
)</f>
        <v>0</v>
      </c>
      <c r="O89" s="2" cm="1">
        <f t="array" ref="O89">IF(AND(E89="Retiro",F89&gt;=40000,G89="Sucursal"),
  SUMPRODUCT(
    (B$4:B89=B89)*
    (E$4:E89="Depósito")*
    (F$4:F89&gt;=F89*0.8)*
    (D$4:D89&gt;=D89-3)*
    (D$4:D89&lt;D89)
  ),0)</f>
        <v>0</v>
      </c>
    </row>
    <row r="90" spans="1:15" ht="18" customHeight="1" x14ac:dyDescent="0.25">
      <c r="A90" s="75">
        <v>87</v>
      </c>
      <c r="B90" s="75">
        <v>34</v>
      </c>
      <c r="C90" s="56" t="s">
        <v>43</v>
      </c>
      <c r="D90" s="56" t="s">
        <v>608</v>
      </c>
      <c r="E90" s="56" t="s">
        <v>490</v>
      </c>
      <c r="F90" s="76">
        <v>5800</v>
      </c>
      <c r="G90" s="56" t="s">
        <v>491</v>
      </c>
      <c r="H90" s="56" t="s">
        <v>507</v>
      </c>
      <c r="I90" s="76">
        <f>VLOOKUP(B90,'Caso 2 (Socios)'!$A$4:$G$73,4,FALSE)</f>
        <v>5500</v>
      </c>
      <c r="J90" s="75" t="str">
        <f t="shared" si="3"/>
        <v>No</v>
      </c>
      <c r="K90" s="80" t="str">
        <f t="shared" si="4"/>
        <v>✔️</v>
      </c>
      <c r="L90" s="56" t="str">
        <f t="shared" si="5"/>
        <v>Normal</v>
      </c>
      <c r="N90" s="2" cm="1">
        <f t="array" ref="N90">SUMPRODUCT(
  (B$4:B90=B90)*
  (E$4:E90="Depósito")*
  (F$4:F90&gt;=15000)*
  (F$4:F90&lt;=49999)*
  (D$4:D90&gt;=D90-5)*
  (D$4:D90&lt;=D90)
)</f>
        <v>0</v>
      </c>
      <c r="O90" s="2" cm="1">
        <f t="array" ref="O90">IF(AND(E90="Retiro",F90&gt;=40000,G90="Sucursal"),
  SUMPRODUCT(
    (B$4:B90=B90)*
    (E$4:E90="Depósito")*
    (F$4:F90&gt;=F90*0.8)*
    (D$4:D90&gt;=D90-3)*
    (D$4:D90&lt;D90)
  ),0)</f>
        <v>0</v>
      </c>
    </row>
    <row r="91" spans="1:15" ht="18" customHeight="1" x14ac:dyDescent="0.25">
      <c r="A91" s="59">
        <v>88</v>
      </c>
      <c r="B91" s="59">
        <v>38</v>
      </c>
      <c r="C91" s="55" t="s">
        <v>47</v>
      </c>
      <c r="D91" s="55" t="s">
        <v>609</v>
      </c>
      <c r="E91" s="55" t="s">
        <v>490</v>
      </c>
      <c r="F91" s="77">
        <v>9800</v>
      </c>
      <c r="G91" s="55" t="s">
        <v>494</v>
      </c>
      <c r="H91" s="55" t="s">
        <v>509</v>
      </c>
      <c r="I91" s="76">
        <f>VLOOKUP(B91,'Caso 2 (Socios)'!$A$4:$G$73,4,FALSE)</f>
        <v>9500</v>
      </c>
      <c r="J91" s="75" t="str">
        <f t="shared" si="3"/>
        <v>No</v>
      </c>
      <c r="K91" s="80" t="str">
        <f t="shared" si="4"/>
        <v>✔️</v>
      </c>
      <c r="L91" s="56" t="str">
        <f t="shared" si="5"/>
        <v>Normal</v>
      </c>
      <c r="N91" s="2" cm="1">
        <f t="array" ref="N91">SUMPRODUCT(
  (B$4:B91=B91)*
  (E$4:E91="Depósito")*
  (F$4:F91&gt;=15000)*
  (F$4:F91&lt;=49999)*
  (D$4:D91&gt;=D91-5)*
  (D$4:D91&lt;=D91)
)</f>
        <v>0</v>
      </c>
      <c r="O91" s="2" cm="1">
        <f t="array" ref="O91">IF(AND(E91="Retiro",F91&gt;=40000,G91="Sucursal"),
  SUMPRODUCT(
    (B$4:B91=B91)*
    (E$4:E91="Depósito")*
    (F$4:F91&gt;=F91*0.8)*
    (D$4:D91&gt;=D91-3)*
    (D$4:D91&lt;D91)
  ),0)</f>
        <v>0</v>
      </c>
    </row>
    <row r="92" spans="1:15" ht="18" customHeight="1" x14ac:dyDescent="0.25">
      <c r="A92" s="75">
        <v>89</v>
      </c>
      <c r="B92" s="75">
        <v>42</v>
      </c>
      <c r="C92" s="56" t="s">
        <v>51</v>
      </c>
      <c r="D92" s="56" t="s">
        <v>610</v>
      </c>
      <c r="E92" s="56" t="s">
        <v>490</v>
      </c>
      <c r="F92" s="76">
        <v>11200</v>
      </c>
      <c r="G92" s="56" t="s">
        <v>491</v>
      </c>
      <c r="H92" s="56" t="s">
        <v>511</v>
      </c>
      <c r="I92" s="76">
        <f>VLOOKUP(B92,'Caso 2 (Socios)'!$A$4:$G$73,4,FALSE)</f>
        <v>10800</v>
      </c>
      <c r="J92" s="75" t="str">
        <f t="shared" si="3"/>
        <v>No</v>
      </c>
      <c r="K92" s="80" t="str">
        <f t="shared" si="4"/>
        <v>✔️</v>
      </c>
      <c r="L92" s="56" t="str">
        <f t="shared" si="5"/>
        <v>Normal</v>
      </c>
      <c r="N92" s="2" cm="1">
        <f t="array" ref="N92">SUMPRODUCT(
  (B$4:B92=B92)*
  (E$4:E92="Depósito")*
  (F$4:F92&gt;=15000)*
  (F$4:F92&lt;=49999)*
  (D$4:D92&gt;=D92-5)*
  (D$4:D92&lt;=D92)
)</f>
        <v>0</v>
      </c>
      <c r="O92" s="2" cm="1">
        <f t="array" ref="O92">IF(AND(E92="Retiro",F92&gt;=40000,G92="Sucursal"),
  SUMPRODUCT(
    (B$4:B92=B92)*
    (E$4:E92="Depósito")*
    (F$4:F92&gt;=F92*0.8)*
    (D$4:D92&gt;=D92-3)*
    (D$4:D92&lt;D92)
  ),0)</f>
        <v>0</v>
      </c>
    </row>
    <row r="93" spans="1:15" ht="18" customHeight="1" x14ac:dyDescent="0.25">
      <c r="A93" s="59">
        <v>90</v>
      </c>
      <c r="B93" s="59">
        <v>46</v>
      </c>
      <c r="C93" s="55" t="s">
        <v>55</v>
      </c>
      <c r="D93" s="55" t="s">
        <v>611</v>
      </c>
      <c r="E93" s="55" t="s">
        <v>490</v>
      </c>
      <c r="F93" s="77">
        <v>6900</v>
      </c>
      <c r="G93" s="55" t="s">
        <v>494</v>
      </c>
      <c r="H93" s="55" t="s">
        <v>513</v>
      </c>
      <c r="I93" s="76">
        <f>VLOOKUP(B93,'Caso 2 (Socios)'!$A$4:$G$73,4,FALSE)</f>
        <v>6500</v>
      </c>
      <c r="J93" s="75" t="str">
        <f t="shared" si="3"/>
        <v>No</v>
      </c>
      <c r="K93" s="80" t="str">
        <f t="shared" si="4"/>
        <v>✔️</v>
      </c>
      <c r="L93" s="56" t="str">
        <f t="shared" si="5"/>
        <v>Normal</v>
      </c>
      <c r="N93" s="2" cm="1">
        <f t="array" ref="N93">SUMPRODUCT(
  (B$4:B93=B93)*
  (E$4:E93="Depósito")*
  (F$4:F93&gt;=15000)*
  (F$4:F93&lt;=49999)*
  (D$4:D93&gt;=D93-5)*
  (D$4:D93&lt;=D93)
)</f>
        <v>0</v>
      </c>
      <c r="O93" s="2" cm="1">
        <f t="array" ref="O93">IF(AND(E93="Retiro",F93&gt;=40000,G93="Sucursal"),
  SUMPRODUCT(
    (B$4:B93=B93)*
    (E$4:E93="Depósito")*
    (F$4:F93&gt;=F93*0.8)*
    (D$4:D93&gt;=D93-3)*
    (D$4:D93&lt;D93)
  ),0)</f>
        <v>0</v>
      </c>
    </row>
    <row r="94" spans="1:15" ht="18" customHeight="1" x14ac:dyDescent="0.25">
      <c r="A94" s="75">
        <v>91</v>
      </c>
      <c r="B94" s="75">
        <v>50</v>
      </c>
      <c r="C94" s="56" t="s">
        <v>59</v>
      </c>
      <c r="D94" s="56" t="s">
        <v>612</v>
      </c>
      <c r="E94" s="56" t="s">
        <v>490</v>
      </c>
      <c r="F94" s="76">
        <v>5500</v>
      </c>
      <c r="G94" s="56" t="s">
        <v>491</v>
      </c>
      <c r="H94" s="56" t="s">
        <v>513</v>
      </c>
      <c r="I94" s="76">
        <f>VLOOKUP(B94,'Caso 2 (Socios)'!$A$4:$G$73,4,FALSE)</f>
        <v>5000</v>
      </c>
      <c r="J94" s="75" t="str">
        <f t="shared" si="3"/>
        <v>No</v>
      </c>
      <c r="K94" s="80" t="str">
        <f t="shared" si="4"/>
        <v>✔️</v>
      </c>
      <c r="L94" s="56" t="str">
        <f t="shared" si="5"/>
        <v>Normal</v>
      </c>
      <c r="N94" s="2" cm="1">
        <f t="array" ref="N94">SUMPRODUCT(
  (B$4:B94=B94)*
  (E$4:E94="Depósito")*
  (F$4:F94&gt;=15000)*
  (F$4:F94&lt;=49999)*
  (D$4:D94&gt;=D94-5)*
  (D$4:D94&lt;=D94)
)</f>
        <v>0</v>
      </c>
      <c r="O94" s="2" cm="1">
        <f t="array" ref="O94">IF(AND(E94="Retiro",F94&gt;=40000,G94="Sucursal"),
  SUMPRODUCT(
    (B$4:B94=B94)*
    (E$4:E94="Depósito")*
    (F$4:F94&gt;=F94*0.8)*
    (D$4:D94&gt;=D94-3)*
    (D$4:D94&lt;D94)
  ),0)</f>
        <v>0</v>
      </c>
    </row>
    <row r="95" spans="1:15" ht="18" customHeight="1" x14ac:dyDescent="0.25">
      <c r="A95" s="59">
        <v>92</v>
      </c>
      <c r="B95" s="59">
        <v>13</v>
      </c>
      <c r="C95" s="55" t="s">
        <v>23</v>
      </c>
      <c r="D95" s="55" t="s">
        <v>613</v>
      </c>
      <c r="E95" s="55" t="s">
        <v>490</v>
      </c>
      <c r="F95" s="77">
        <v>9600</v>
      </c>
      <c r="G95" s="55" t="s">
        <v>494</v>
      </c>
      <c r="H95" s="55" t="s">
        <v>561</v>
      </c>
      <c r="I95" s="76">
        <f>VLOOKUP(B95,'Caso 2 (Socios)'!$A$4:$G$73,4,FALSE)</f>
        <v>9000</v>
      </c>
      <c r="J95" s="75" t="str">
        <f t="shared" si="3"/>
        <v>No</v>
      </c>
      <c r="K95" s="80" t="str">
        <f t="shared" si="4"/>
        <v>✔️</v>
      </c>
      <c r="L95" s="56" t="str">
        <f t="shared" si="5"/>
        <v>Normal</v>
      </c>
      <c r="N95" s="2" cm="1">
        <f t="array" ref="N95">SUMPRODUCT(
  (B$4:B95=B95)*
  (E$4:E95="Depósito")*
  (F$4:F95&gt;=15000)*
  (F$4:F95&lt;=49999)*
  (D$4:D95&gt;=D95-5)*
  (D$4:D95&lt;=D95)
)</f>
        <v>0</v>
      </c>
      <c r="O95" s="2" cm="1">
        <f t="array" ref="O95">IF(AND(E95="Retiro",F95&gt;=40000,G95="Sucursal"),
  SUMPRODUCT(
    (B$4:B95=B95)*
    (E$4:E95="Depósito")*
    (F$4:F95&gt;=F95*0.8)*
    (D$4:D95&gt;=D95-3)*
    (D$4:D95&lt;D95)
  ),0)</f>
        <v>0</v>
      </c>
    </row>
    <row r="96" spans="1:15" ht="18" customHeight="1" x14ac:dyDescent="0.25">
      <c r="A96" s="75">
        <v>93</v>
      </c>
      <c r="B96" s="75">
        <v>18</v>
      </c>
      <c r="C96" s="56" t="s">
        <v>28</v>
      </c>
      <c r="D96" s="56" t="s">
        <v>614</v>
      </c>
      <c r="E96" s="56" t="s">
        <v>490</v>
      </c>
      <c r="F96" s="76">
        <v>7900</v>
      </c>
      <c r="G96" s="56" t="s">
        <v>491</v>
      </c>
      <c r="H96" s="56" t="s">
        <v>497</v>
      </c>
      <c r="I96" s="76">
        <f>VLOOKUP(B96,'Caso 2 (Socios)'!$A$4:$G$73,4,FALSE)</f>
        <v>7500</v>
      </c>
      <c r="J96" s="75" t="str">
        <f t="shared" si="3"/>
        <v>No</v>
      </c>
      <c r="K96" s="80" t="str">
        <f t="shared" si="4"/>
        <v>✔️</v>
      </c>
      <c r="L96" s="56" t="str">
        <f t="shared" si="5"/>
        <v>Normal</v>
      </c>
      <c r="N96" s="2" cm="1">
        <f t="array" ref="N96">SUMPRODUCT(
  (B$4:B96=B96)*
  (E$4:E96="Depósito")*
  (F$4:F96&gt;=15000)*
  (F$4:F96&lt;=49999)*
  (D$4:D96&gt;=D96-5)*
  (D$4:D96&lt;=D96)
)</f>
        <v>0</v>
      </c>
      <c r="O96" s="2" cm="1">
        <f t="array" ref="O96">IF(AND(E96="Retiro",F96&gt;=40000,G96="Sucursal"),
  SUMPRODUCT(
    (B$4:B96=B96)*
    (E$4:E96="Depósito")*
    (F$4:F96&gt;=F96*0.8)*
    (D$4:D96&gt;=D96-3)*
    (D$4:D96&lt;D96)
  ),0)</f>
        <v>0</v>
      </c>
    </row>
    <row r="97" spans="1:15" ht="18" customHeight="1" x14ac:dyDescent="0.25">
      <c r="A97" s="59">
        <v>94</v>
      </c>
      <c r="B97" s="59">
        <v>22</v>
      </c>
      <c r="C97" s="55" t="s">
        <v>32</v>
      </c>
      <c r="D97" s="55" t="s">
        <v>615</v>
      </c>
      <c r="E97" s="55" t="s">
        <v>490</v>
      </c>
      <c r="F97" s="77">
        <v>14800</v>
      </c>
      <c r="G97" s="55" t="s">
        <v>494</v>
      </c>
      <c r="H97" s="55" t="s">
        <v>521</v>
      </c>
      <c r="I97" s="76">
        <f>VLOOKUP(B97,'Caso 2 (Socios)'!$A$4:$G$73,4,FALSE)</f>
        <v>14000</v>
      </c>
      <c r="J97" s="75" t="str">
        <f t="shared" si="3"/>
        <v>No</v>
      </c>
      <c r="K97" s="80" t="str">
        <f t="shared" si="4"/>
        <v>✔️</v>
      </c>
      <c r="L97" s="56" t="str">
        <f t="shared" si="5"/>
        <v>Normal</v>
      </c>
      <c r="N97" s="2" cm="1">
        <f t="array" ref="N97">SUMPRODUCT(
  (B$4:B97=B97)*
  (E$4:E97="Depósito")*
  (F$4:F97&gt;=15000)*
  (F$4:F97&lt;=49999)*
  (D$4:D97&gt;=D97-5)*
  (D$4:D97&lt;=D97)
)</f>
        <v>0</v>
      </c>
      <c r="O97" s="2" cm="1">
        <f t="array" ref="O97">IF(AND(E97="Retiro",F97&gt;=40000,G97="Sucursal"),
  SUMPRODUCT(
    (B$4:B97=B97)*
    (E$4:E97="Depósito")*
    (F$4:F97&gt;=F97*0.8)*
    (D$4:D97&gt;=D97-3)*
    (D$4:D97&lt;D97)
  ),0)</f>
        <v>0</v>
      </c>
    </row>
    <row r="98" spans="1:15" ht="18" customHeight="1" x14ac:dyDescent="0.25">
      <c r="A98" s="75">
        <v>95</v>
      </c>
      <c r="B98" s="75">
        <v>26</v>
      </c>
      <c r="C98" s="56" t="s">
        <v>36</v>
      </c>
      <c r="D98" s="56" t="s">
        <v>616</v>
      </c>
      <c r="E98" s="56" t="s">
        <v>490</v>
      </c>
      <c r="F98" s="76">
        <v>46000</v>
      </c>
      <c r="G98" s="56" t="s">
        <v>494</v>
      </c>
      <c r="H98" s="56" t="s">
        <v>617</v>
      </c>
      <c r="I98" s="76">
        <f>VLOOKUP(B98,'Caso 2 (Socios)'!$A$4:$G$73,4,FALSE)</f>
        <v>8000</v>
      </c>
      <c r="J98" s="75" t="str">
        <f t="shared" si="3"/>
        <v>Sí</v>
      </c>
      <c r="K98" s="80" t="str">
        <f t="shared" si="4"/>
        <v>⚠️</v>
      </c>
      <c r="L98" s="56" t="str">
        <f t="shared" si="5"/>
        <v>Inconsistencia de perfil</v>
      </c>
      <c r="N98" s="2" cm="1">
        <f t="array" ref="N98">SUMPRODUCT(
  (B$4:B98=B98)*
  (E$4:E98="Depósito")*
  (F$4:F98&gt;=15000)*
  (F$4:F98&lt;=49999)*
  (D$4:D98&gt;=D98-5)*
  (D$4:D98&lt;=D98)
)</f>
        <v>1</v>
      </c>
      <c r="O98" s="2" cm="1">
        <f t="array" ref="O98">IF(AND(E98="Retiro",F98&gt;=40000,G98="Sucursal"),
  SUMPRODUCT(
    (B$4:B98=B98)*
    (E$4:E98="Depósito")*
    (F$4:F98&gt;=F98*0.8)*
    (D$4:D98&gt;=D98-3)*
    (D$4:D98&lt;D98)
  ),0)</f>
        <v>0</v>
      </c>
    </row>
    <row r="99" spans="1:15" ht="18" customHeight="1" x14ac:dyDescent="0.25">
      <c r="A99" s="59">
        <v>96</v>
      </c>
      <c r="B99" s="59">
        <v>26</v>
      </c>
      <c r="C99" s="55" t="s">
        <v>36</v>
      </c>
      <c r="D99" s="55" t="s">
        <v>618</v>
      </c>
      <c r="E99" s="55" t="s">
        <v>490</v>
      </c>
      <c r="F99" s="77">
        <v>45500</v>
      </c>
      <c r="G99" s="55" t="s">
        <v>494</v>
      </c>
      <c r="H99" s="55" t="s">
        <v>617</v>
      </c>
      <c r="I99" s="76">
        <f>VLOOKUP(B99,'Caso 2 (Socios)'!$A$4:$G$73,4,FALSE)</f>
        <v>8000</v>
      </c>
      <c r="J99" s="75" t="str">
        <f t="shared" si="3"/>
        <v>Sí</v>
      </c>
      <c r="K99" s="80" t="str">
        <f t="shared" si="4"/>
        <v>⚠️</v>
      </c>
      <c r="L99" s="56" t="str">
        <f t="shared" si="5"/>
        <v>Inconsistencia de perfil</v>
      </c>
      <c r="N99" s="2" cm="1">
        <f t="array" ref="N99">SUMPRODUCT(
  (B$4:B99=B99)*
  (E$4:E99="Depósito")*
  (F$4:F99&gt;=15000)*
  (F$4:F99&lt;=49999)*
  (D$4:D99&gt;=D99-5)*
  (D$4:D99&lt;=D99)
)</f>
        <v>2</v>
      </c>
      <c r="O99" s="2" cm="1">
        <f t="array" ref="O99">IF(AND(E99="Retiro",F99&gt;=40000,G99="Sucursal"),
  SUMPRODUCT(
    (B$4:B99=B99)*
    (E$4:E99="Depósito")*
    (F$4:F99&gt;=F99*0.8)*
    (D$4:D99&gt;=D99-3)*
    (D$4:D99&lt;D99)
  ),0)</f>
        <v>0</v>
      </c>
    </row>
    <row r="100" spans="1:15" ht="18" customHeight="1" x14ac:dyDescent="0.25">
      <c r="A100" s="75">
        <v>97</v>
      </c>
      <c r="B100" s="75">
        <v>32</v>
      </c>
      <c r="C100" s="56" t="s">
        <v>11</v>
      </c>
      <c r="D100" s="56" t="s">
        <v>619</v>
      </c>
      <c r="E100" s="56" t="s">
        <v>490</v>
      </c>
      <c r="F100" s="76">
        <v>13100</v>
      </c>
      <c r="G100" s="56" t="s">
        <v>491</v>
      </c>
      <c r="H100" s="56" t="s">
        <v>620</v>
      </c>
      <c r="I100" s="76">
        <f>VLOOKUP(B100,'Caso 2 (Socios)'!$A$4:$G$73,4,FALSE)</f>
        <v>12800</v>
      </c>
      <c r="J100" s="75" t="str">
        <f t="shared" si="3"/>
        <v>No</v>
      </c>
      <c r="K100" s="80" t="str">
        <f t="shared" si="4"/>
        <v>✔️</v>
      </c>
      <c r="L100" s="56" t="str">
        <f t="shared" si="5"/>
        <v>Normal</v>
      </c>
      <c r="N100" s="2" cm="1">
        <f t="array" ref="N100">SUMPRODUCT(
  (B$4:B100=B100)*
  (E$4:E100="Depósito")*
  (F$4:F100&gt;=15000)*
  (F$4:F100&lt;=49999)*
  (D$4:D100&gt;=D100-5)*
  (D$4:D100&lt;=D100)
)</f>
        <v>0</v>
      </c>
      <c r="O100" s="2" cm="1">
        <f t="array" ref="O100">IF(AND(E100="Retiro",F100&gt;=40000,G100="Sucursal"),
  SUMPRODUCT(
    (B$4:B100=B100)*
    (E$4:E100="Depósito")*
    (F$4:F100&gt;=F100*0.8)*
    (D$4:D100&gt;=D100-3)*
    (D$4:D100&lt;D100)
  ),0)</f>
        <v>0</v>
      </c>
    </row>
    <row r="101" spans="1:15" ht="18" customHeight="1" x14ac:dyDescent="0.25">
      <c r="A101" s="59">
        <v>98</v>
      </c>
      <c r="B101" s="59">
        <v>36</v>
      </c>
      <c r="C101" s="55" t="s">
        <v>45</v>
      </c>
      <c r="D101" s="55" t="s">
        <v>621</v>
      </c>
      <c r="E101" s="55" t="s">
        <v>490</v>
      </c>
      <c r="F101" s="77">
        <v>15600</v>
      </c>
      <c r="G101" s="55" t="s">
        <v>494</v>
      </c>
      <c r="H101" s="55" t="s">
        <v>497</v>
      </c>
      <c r="I101" s="76">
        <f>VLOOKUP(B101,'Caso 2 (Socios)'!$A$4:$G$73,4,FALSE)</f>
        <v>15000</v>
      </c>
      <c r="J101" s="75" t="str">
        <f t="shared" si="3"/>
        <v>No</v>
      </c>
      <c r="K101" s="80" t="str">
        <f t="shared" si="4"/>
        <v>✔️</v>
      </c>
      <c r="L101" s="56" t="str">
        <f t="shared" si="5"/>
        <v>Normal</v>
      </c>
      <c r="N101" s="2" cm="1">
        <f t="array" ref="N101">SUMPRODUCT(
  (B$4:B101=B101)*
  (E$4:E101="Depósito")*
  (F$4:F101&gt;=15000)*
  (F$4:F101&lt;=49999)*
  (D$4:D101&gt;=D101-5)*
  (D$4:D101&lt;=D101)
)</f>
        <v>1</v>
      </c>
      <c r="O101" s="2" cm="1">
        <f t="array" ref="O101">IF(AND(E101="Retiro",F101&gt;=40000,G101="Sucursal"),
  SUMPRODUCT(
    (B$4:B101=B101)*
    (E$4:E101="Depósito")*
    (F$4:F101&gt;=F101*0.8)*
    (D$4:D101&gt;=D101-3)*
    (D$4:D101&lt;D101)
  ),0)</f>
        <v>0</v>
      </c>
    </row>
    <row r="102" spans="1:15" ht="18" customHeight="1" x14ac:dyDescent="0.25">
      <c r="A102" s="75">
        <v>99</v>
      </c>
      <c r="B102" s="75">
        <v>40</v>
      </c>
      <c r="C102" s="56" t="s">
        <v>49</v>
      </c>
      <c r="D102" s="56" t="s">
        <v>622</v>
      </c>
      <c r="E102" s="56" t="s">
        <v>490</v>
      </c>
      <c r="F102" s="76">
        <v>11900</v>
      </c>
      <c r="G102" s="56" t="s">
        <v>491</v>
      </c>
      <c r="H102" s="56" t="s">
        <v>497</v>
      </c>
      <c r="I102" s="76">
        <f>VLOOKUP(B102,'Caso 2 (Socios)'!$A$4:$G$73,4,FALSE)</f>
        <v>11200</v>
      </c>
      <c r="J102" s="75" t="str">
        <f t="shared" si="3"/>
        <v>No</v>
      </c>
      <c r="K102" s="80" t="str">
        <f t="shared" si="4"/>
        <v>✔️</v>
      </c>
      <c r="L102" s="56" t="str">
        <f t="shared" si="5"/>
        <v>Normal</v>
      </c>
      <c r="N102" s="2" cm="1">
        <f t="array" ref="N102">SUMPRODUCT(
  (B$4:B102=B102)*
  (E$4:E102="Depósito")*
  (F$4:F102&gt;=15000)*
  (F$4:F102&lt;=49999)*
  (D$4:D102&gt;=D102-5)*
  (D$4:D102&lt;=D102)
)</f>
        <v>0</v>
      </c>
      <c r="O102" s="2" cm="1">
        <f t="array" ref="O102">IF(AND(E102="Retiro",F102&gt;=40000,G102="Sucursal"),
  SUMPRODUCT(
    (B$4:B102=B102)*
    (E$4:E102="Depósito")*
    (F$4:F102&gt;=F102*0.8)*
    (D$4:D102&gt;=D102-3)*
    (D$4:D102&lt;D102)
  ),0)</f>
        <v>0</v>
      </c>
    </row>
    <row r="103" spans="1:15" ht="18" customHeight="1" x14ac:dyDescent="0.25">
      <c r="A103" s="59">
        <v>100</v>
      </c>
      <c r="B103" s="59">
        <v>44</v>
      </c>
      <c r="C103" s="55" t="s">
        <v>53</v>
      </c>
      <c r="D103" s="55" t="s">
        <v>623</v>
      </c>
      <c r="E103" s="55" t="s">
        <v>490</v>
      </c>
      <c r="F103" s="77">
        <v>15100</v>
      </c>
      <c r="G103" s="55" t="s">
        <v>494</v>
      </c>
      <c r="H103" s="55" t="s">
        <v>529</v>
      </c>
      <c r="I103" s="76">
        <f>VLOOKUP(B103,'Caso 2 (Socios)'!$A$4:$G$73,4,FALSE)</f>
        <v>14200</v>
      </c>
      <c r="J103" s="75" t="str">
        <f t="shared" si="3"/>
        <v>No</v>
      </c>
      <c r="K103" s="80" t="str">
        <f t="shared" si="4"/>
        <v>⚠️</v>
      </c>
      <c r="L103" s="56" t="str">
        <f t="shared" si="5"/>
        <v>Posible fraccionamiento</v>
      </c>
      <c r="N103" s="2" cm="1">
        <f t="array" ref="N103">SUMPRODUCT(
  (B$4:B103=B103)*
  (E$4:E103="Depósito")*
  (F$4:F103&gt;=15000)*
  (F$4:F103&lt;=49999)*
  (D$4:D103&gt;=D103-5)*
  (D$4:D103&lt;=D103)
)</f>
        <v>2</v>
      </c>
      <c r="O103" s="2" cm="1">
        <f t="array" ref="O103">IF(AND(E103="Retiro",F103&gt;=40000,G103="Sucursal"),
  SUMPRODUCT(
    (B$4:B103=B103)*
    (E$4:E103="Depósito")*
    (F$4:F103&gt;=F103*0.8)*
    (D$4:D103&gt;=D103-3)*
    (D$4:D103&lt;D103)
  ),0)</f>
        <v>0</v>
      </c>
    </row>
    <row r="104" spans="1:15" ht="18" customHeight="1" x14ac:dyDescent="0.25">
      <c r="A104" s="75">
        <v>101</v>
      </c>
      <c r="B104" s="75">
        <v>48</v>
      </c>
      <c r="C104" s="56" t="s">
        <v>57</v>
      </c>
      <c r="D104" s="56" t="s">
        <v>624</v>
      </c>
      <c r="E104" s="56" t="s">
        <v>490</v>
      </c>
      <c r="F104" s="76">
        <v>14300</v>
      </c>
      <c r="G104" s="56" t="s">
        <v>494</v>
      </c>
      <c r="H104" s="56" t="s">
        <v>497</v>
      </c>
      <c r="I104" s="76">
        <f>VLOOKUP(B104,'Caso 2 (Socios)'!$A$4:$G$73,4,FALSE)</f>
        <v>13800</v>
      </c>
      <c r="J104" s="75" t="str">
        <f t="shared" si="3"/>
        <v>No</v>
      </c>
      <c r="K104" s="80" t="str">
        <f t="shared" si="4"/>
        <v>✔️</v>
      </c>
      <c r="L104" s="56" t="str">
        <f t="shared" si="5"/>
        <v>Normal</v>
      </c>
      <c r="N104" s="2" cm="1">
        <f t="array" ref="N104">SUMPRODUCT(
  (B$4:B104=B104)*
  (E$4:E104="Depósito")*
  (F$4:F104&gt;=15000)*
  (F$4:F104&lt;=49999)*
  (D$4:D104&gt;=D104-5)*
  (D$4:D104&lt;=D104)
)</f>
        <v>0</v>
      </c>
      <c r="O104" s="2" cm="1">
        <f t="array" ref="O104">IF(AND(E104="Retiro",F104&gt;=40000,G104="Sucursal"),
  SUMPRODUCT(
    (B$4:B104=B104)*
    (E$4:E104="Depósito")*
    (F$4:F104&gt;=F104*0.8)*
    (D$4:D104&gt;=D104-3)*
    (D$4:D104&lt;D104)
  ),0)</f>
        <v>0</v>
      </c>
    </row>
    <row r="105" spans="1:15" ht="18" customHeight="1" x14ac:dyDescent="0.25">
      <c r="A105" s="59">
        <v>102</v>
      </c>
      <c r="B105" s="59">
        <v>52</v>
      </c>
      <c r="C105" s="55" t="s">
        <v>61</v>
      </c>
      <c r="D105" s="55" t="s">
        <v>625</v>
      </c>
      <c r="E105" s="55" t="s">
        <v>490</v>
      </c>
      <c r="F105" s="77">
        <v>11600</v>
      </c>
      <c r="G105" s="55" t="s">
        <v>491</v>
      </c>
      <c r="H105" s="55" t="s">
        <v>497</v>
      </c>
      <c r="I105" s="76">
        <f>VLOOKUP(B105,'Caso 2 (Socios)'!$A$4:$G$73,4,FALSE)</f>
        <v>11000</v>
      </c>
      <c r="J105" s="75" t="str">
        <f t="shared" si="3"/>
        <v>No</v>
      </c>
      <c r="K105" s="80" t="str">
        <f t="shared" si="4"/>
        <v>✔️</v>
      </c>
      <c r="L105" s="56" t="str">
        <f t="shared" si="5"/>
        <v>Normal</v>
      </c>
      <c r="N105" s="2" cm="1">
        <f t="array" ref="N105">SUMPRODUCT(
  (B$4:B105=B105)*
  (E$4:E105="Depósito")*
  (F$4:F105&gt;=15000)*
  (F$4:F105&lt;=49999)*
  (D$4:D105&gt;=D105-5)*
  (D$4:D105&lt;=D105)
)</f>
        <v>0</v>
      </c>
      <c r="O105" s="2" cm="1">
        <f t="array" ref="O105">IF(AND(E105="Retiro",F105&gt;=40000,G105="Sucursal"),
  SUMPRODUCT(
    (B$4:B105=B105)*
    (E$4:E105="Depósito")*
    (F$4:F105&gt;=F105*0.8)*
    (D$4:D105&gt;=D105-3)*
    (D$4:D105&lt;D105)
  ),0)</f>
        <v>0</v>
      </c>
    </row>
    <row r="106" spans="1:15" ht="18" customHeight="1" x14ac:dyDescent="0.25">
      <c r="A106" s="75">
        <v>103</v>
      </c>
      <c r="B106" s="75">
        <v>15</v>
      </c>
      <c r="C106" s="56" t="s">
        <v>25</v>
      </c>
      <c r="D106" s="56" t="s">
        <v>626</v>
      </c>
      <c r="E106" s="56" t="s">
        <v>490</v>
      </c>
      <c r="F106" s="76">
        <v>78000</v>
      </c>
      <c r="G106" s="56" t="s">
        <v>494</v>
      </c>
      <c r="H106" s="56" t="s">
        <v>517</v>
      </c>
      <c r="I106" s="76">
        <f>VLOOKUP(B106,'Caso 2 (Socios)'!$A$4:$G$73,4,FALSE)</f>
        <v>18000</v>
      </c>
      <c r="J106" s="75" t="str">
        <f t="shared" si="3"/>
        <v>Sí</v>
      </c>
      <c r="K106" s="80" t="str">
        <f t="shared" si="4"/>
        <v>⚠️</v>
      </c>
      <c r="L106" s="56" t="str">
        <f t="shared" si="5"/>
        <v>Monto alto + Inconsistencia</v>
      </c>
      <c r="N106" s="2" cm="1">
        <f t="array" ref="N106">SUMPRODUCT(
  (B$4:B106=B106)*
  (E$4:E106="Depósito")*
  (F$4:F106&gt;=15000)*
  (F$4:F106&lt;=49999)*
  (D$4:D106&gt;=D106-5)*
  (D$4:D106&lt;=D106)
)</f>
        <v>0</v>
      </c>
      <c r="O106" s="2" cm="1">
        <f t="array" ref="O106">IF(AND(E106="Retiro",F106&gt;=40000,G106="Sucursal"),
  SUMPRODUCT(
    (B$4:B106=B106)*
    (E$4:E106="Depósito")*
    (F$4:F106&gt;=F106*0.8)*
    (D$4:D106&gt;=D106-3)*
    (D$4:D106&lt;D106)
  ),0)</f>
        <v>0</v>
      </c>
    </row>
    <row r="107" spans="1:15" ht="18" customHeight="1" x14ac:dyDescent="0.25">
      <c r="A107" s="59">
        <v>104</v>
      </c>
      <c r="B107" s="59">
        <v>19</v>
      </c>
      <c r="C107" s="55" t="s">
        <v>29</v>
      </c>
      <c r="D107" s="55" t="s">
        <v>627</v>
      </c>
      <c r="E107" s="55" t="s">
        <v>490</v>
      </c>
      <c r="F107" s="77">
        <v>20200</v>
      </c>
      <c r="G107" s="55" t="s">
        <v>494</v>
      </c>
      <c r="H107" s="55" t="s">
        <v>519</v>
      </c>
      <c r="I107" s="76">
        <f>VLOOKUP(B107,'Caso 2 (Socios)'!$A$4:$G$73,4,FALSE)</f>
        <v>19000</v>
      </c>
      <c r="J107" s="75" t="str">
        <f t="shared" si="3"/>
        <v>No</v>
      </c>
      <c r="K107" s="80" t="str">
        <f t="shared" si="4"/>
        <v>⚠️</v>
      </c>
      <c r="L107" s="56" t="str">
        <f t="shared" si="5"/>
        <v>Posible fraccionamiento</v>
      </c>
      <c r="N107" s="2" cm="1">
        <f t="array" ref="N107">SUMPRODUCT(
  (B$4:B107=B107)*
  (E$4:E107="Depósito")*
  (F$4:F107&gt;=15000)*
  (F$4:F107&lt;=49999)*
  (D$4:D107&gt;=D107-5)*
  (D$4:D107&lt;=D107)
)</f>
        <v>2</v>
      </c>
      <c r="O107" s="2" cm="1">
        <f t="array" ref="O107">IF(AND(E107="Retiro",F107&gt;=40000,G107="Sucursal"),
  SUMPRODUCT(
    (B$4:B107=B107)*
    (E$4:E107="Depósito")*
    (F$4:F107&gt;=F107*0.8)*
    (D$4:D107&gt;=D107-3)*
    (D$4:D107&lt;D107)
  ),0)</f>
        <v>0</v>
      </c>
    </row>
    <row r="108" spans="1:15" ht="18" customHeight="1" x14ac:dyDescent="0.25">
      <c r="A108" s="75">
        <v>105</v>
      </c>
      <c r="B108" s="75">
        <v>23</v>
      </c>
      <c r="C108" s="56" t="s">
        <v>33</v>
      </c>
      <c r="D108" s="56" t="s">
        <v>628</v>
      </c>
      <c r="E108" s="56" t="s">
        <v>490</v>
      </c>
      <c r="F108" s="76">
        <v>22500</v>
      </c>
      <c r="G108" s="56" t="s">
        <v>494</v>
      </c>
      <c r="H108" s="56" t="s">
        <v>557</v>
      </c>
      <c r="I108" s="76">
        <f>VLOOKUP(B108,'Caso 2 (Socios)'!$A$4:$G$73,4,FALSE)</f>
        <v>21000</v>
      </c>
      <c r="J108" s="75" t="str">
        <f t="shared" si="3"/>
        <v>No</v>
      </c>
      <c r="K108" s="80" t="str">
        <f t="shared" si="4"/>
        <v>✔️</v>
      </c>
      <c r="L108" s="56" t="str">
        <f t="shared" si="5"/>
        <v>Normal</v>
      </c>
      <c r="N108" s="2" cm="1">
        <f t="array" ref="N108">SUMPRODUCT(
  (B$4:B108=B108)*
  (E$4:E108="Depósito")*
  (F$4:F108&gt;=15000)*
  (F$4:F108&lt;=49999)*
  (D$4:D108&gt;=D108-5)*
  (D$4:D108&lt;=D108)
)</f>
        <v>1</v>
      </c>
      <c r="O108" s="2" cm="1">
        <f t="array" ref="O108">IF(AND(E108="Retiro",F108&gt;=40000,G108="Sucursal"),
  SUMPRODUCT(
    (B$4:B108=B108)*
    (E$4:E108="Depósito")*
    (F$4:F108&gt;=F108*0.8)*
    (D$4:D108&gt;=D108-3)*
    (D$4:D108&lt;D108)
  ),0)</f>
        <v>0</v>
      </c>
    </row>
    <row r="109" spans="1:15" ht="18" customHeight="1" x14ac:dyDescent="0.25">
      <c r="A109" s="59">
        <v>106</v>
      </c>
      <c r="B109" s="59">
        <v>29</v>
      </c>
      <c r="C109" s="55" t="s">
        <v>39</v>
      </c>
      <c r="D109" s="55" t="s">
        <v>629</v>
      </c>
      <c r="E109" s="55" t="s">
        <v>490</v>
      </c>
      <c r="F109" s="77">
        <v>92000</v>
      </c>
      <c r="G109" s="55" t="s">
        <v>494</v>
      </c>
      <c r="H109" s="55" t="s">
        <v>517</v>
      </c>
      <c r="I109" s="76">
        <f>VLOOKUP(B109,'Caso 2 (Socios)'!$A$4:$G$73,4,FALSE)</f>
        <v>17500</v>
      </c>
      <c r="J109" s="75" t="str">
        <f t="shared" si="3"/>
        <v>Sí</v>
      </c>
      <c r="K109" s="80" t="str">
        <f t="shared" si="4"/>
        <v>⚠️</v>
      </c>
      <c r="L109" s="56" t="str">
        <f t="shared" si="5"/>
        <v>Monto alto + Inconsistencia</v>
      </c>
      <c r="N109" s="2" cm="1">
        <f t="array" ref="N109">SUMPRODUCT(
  (B$4:B109=B109)*
  (E$4:E109="Depósito")*
  (F$4:F109&gt;=15000)*
  (F$4:F109&lt;=49999)*
  (D$4:D109&gt;=D109-5)*
  (D$4:D109&lt;=D109)
)</f>
        <v>0</v>
      </c>
      <c r="O109" s="2" cm="1">
        <f t="array" ref="O109">IF(AND(E109="Retiro",F109&gt;=40000,G109="Sucursal"),
  SUMPRODUCT(
    (B$4:B109=B109)*
    (E$4:E109="Depósito")*
    (F$4:F109&gt;=F109*0.8)*
    (D$4:D109&gt;=D109-3)*
    (D$4:D109&lt;D109)
  ),0)</f>
        <v>0</v>
      </c>
    </row>
    <row r="110" spans="1:15" ht="18" customHeight="1" x14ac:dyDescent="0.25">
      <c r="A110" s="75">
        <v>107</v>
      </c>
      <c r="B110" s="75">
        <v>33</v>
      </c>
      <c r="C110" s="56" t="s">
        <v>42</v>
      </c>
      <c r="D110" s="56" t="s">
        <v>630</v>
      </c>
      <c r="E110" s="56" t="s">
        <v>490</v>
      </c>
      <c r="F110" s="76">
        <v>53500</v>
      </c>
      <c r="G110" s="56" t="s">
        <v>494</v>
      </c>
      <c r="H110" s="56" t="s">
        <v>566</v>
      </c>
      <c r="I110" s="76">
        <f>VLOOKUP(B110,'Caso 2 (Socios)'!$A$4:$G$73,4,FALSE)</f>
        <v>8700</v>
      </c>
      <c r="J110" s="75" t="str">
        <f t="shared" si="3"/>
        <v>Sí</v>
      </c>
      <c r="K110" s="80" t="str">
        <f t="shared" si="4"/>
        <v>⚠️</v>
      </c>
      <c r="L110" s="56" t="str">
        <f t="shared" si="5"/>
        <v>Monto alto + Inconsistencia</v>
      </c>
      <c r="N110" s="2" cm="1">
        <f t="array" ref="N110">SUMPRODUCT(
  (B$4:B110=B110)*
  (E$4:E110="Depósito")*
  (F$4:F110&gt;=15000)*
  (F$4:F110&lt;=49999)*
  (D$4:D110&gt;=D110-5)*
  (D$4:D110&lt;=D110)
)</f>
        <v>0</v>
      </c>
      <c r="O110" s="2" cm="1">
        <f t="array" ref="O110">IF(AND(E110="Retiro",F110&gt;=40000,G110="Sucursal"),
  SUMPRODUCT(
    (B$4:B110=B110)*
    (E$4:E110="Depósito")*
    (F$4:F110&gt;=F110*0.8)*
    (D$4:D110&gt;=D110-3)*
    (D$4:D110&lt;D110)
  ),0)</f>
        <v>0</v>
      </c>
    </row>
    <row r="111" spans="1:15" ht="18" customHeight="1" x14ac:dyDescent="0.25">
      <c r="A111" s="59">
        <v>108</v>
      </c>
      <c r="B111" s="59">
        <v>39</v>
      </c>
      <c r="C111" s="55" t="s">
        <v>48</v>
      </c>
      <c r="D111" s="55" t="s">
        <v>631</v>
      </c>
      <c r="E111" s="55" t="s">
        <v>548</v>
      </c>
      <c r="F111" s="77">
        <v>62000</v>
      </c>
      <c r="G111" s="55" t="s">
        <v>494</v>
      </c>
      <c r="H111" s="55" t="s">
        <v>549</v>
      </c>
      <c r="I111" s="76">
        <f>VLOOKUP(B111,'Caso 2 (Socios)'!$A$4:$G$73,4,FALSE)</f>
        <v>13500</v>
      </c>
      <c r="J111" s="75" t="str">
        <f t="shared" si="3"/>
        <v>Sí</v>
      </c>
      <c r="K111" s="80" t="str">
        <f t="shared" si="4"/>
        <v>⚠️</v>
      </c>
      <c r="L111" s="56" t="str">
        <f t="shared" si="5"/>
        <v>Monto alto + Inconsistencia</v>
      </c>
      <c r="N111" s="2" cm="1">
        <f t="array" ref="N111">SUMPRODUCT(
  (B$4:B111=B111)*
  (E$4:E111="Depósito")*
  (F$4:F111&gt;=15000)*
  (F$4:F111&lt;=49999)*
  (D$4:D111&gt;=D111-5)*
  (D$4:D111&lt;=D111)
)</f>
        <v>0</v>
      </c>
      <c r="O111" s="2" cm="1">
        <f t="array" ref="O111">IF(AND(E111="Retiro",F111&gt;=40000,G111="Sucursal"),
  SUMPRODUCT(
    (B$4:B111=B111)*
    (E$4:E111="Depósito")*
    (F$4:F111&gt;=F111*0.8)*
    (D$4:D111&gt;=D111-3)*
    (D$4:D111&lt;D111)
  ),0)</f>
        <v>0</v>
      </c>
    </row>
    <row r="112" spans="1:15" ht="18" customHeight="1" x14ac:dyDescent="0.25">
      <c r="A112" s="75">
        <v>109</v>
      </c>
      <c r="B112" s="75">
        <v>43</v>
      </c>
      <c r="C112" s="56" t="s">
        <v>52</v>
      </c>
      <c r="D112" s="56" t="s">
        <v>632</v>
      </c>
      <c r="E112" s="56" t="s">
        <v>490</v>
      </c>
      <c r="F112" s="76">
        <v>9300</v>
      </c>
      <c r="G112" s="56" t="s">
        <v>494</v>
      </c>
      <c r="H112" s="56" t="s">
        <v>561</v>
      </c>
      <c r="I112" s="76">
        <f>VLOOKUP(B112,'Caso 2 (Socios)'!$A$4:$G$73,4,FALSE)</f>
        <v>8400</v>
      </c>
      <c r="J112" s="75" t="str">
        <f t="shared" si="3"/>
        <v>No</v>
      </c>
      <c r="K112" s="80" t="str">
        <f t="shared" si="4"/>
        <v>✔️</v>
      </c>
      <c r="L112" s="56" t="str">
        <f t="shared" si="5"/>
        <v>Normal</v>
      </c>
      <c r="N112" s="2" cm="1">
        <f t="array" ref="N112">SUMPRODUCT(
  (B$4:B112=B112)*
  (E$4:E112="Depósito")*
  (F$4:F112&gt;=15000)*
  (F$4:F112&lt;=49999)*
  (D$4:D112&gt;=D112-5)*
  (D$4:D112&lt;=D112)
)</f>
        <v>0</v>
      </c>
      <c r="O112" s="2" cm="1">
        <f t="array" ref="O112">IF(AND(E112="Retiro",F112&gt;=40000,G112="Sucursal"),
  SUMPRODUCT(
    (B$4:B112=B112)*
    (E$4:E112="Depósito")*
    (F$4:F112&gt;=F112*0.8)*
    (D$4:D112&gt;=D112-3)*
    (D$4:D112&lt;D112)
  ),0)</f>
        <v>0</v>
      </c>
    </row>
    <row r="113" spans="1:15" ht="18" customHeight="1" x14ac:dyDescent="0.25">
      <c r="A113" s="59">
        <v>110</v>
      </c>
      <c r="B113" s="59">
        <v>47</v>
      </c>
      <c r="C113" s="55" t="s">
        <v>56</v>
      </c>
      <c r="D113" s="55" t="s">
        <v>633</v>
      </c>
      <c r="E113" s="55" t="s">
        <v>490</v>
      </c>
      <c r="F113" s="77">
        <v>9700</v>
      </c>
      <c r="G113" s="55" t="s">
        <v>491</v>
      </c>
      <c r="H113" s="55" t="s">
        <v>553</v>
      </c>
      <c r="I113" s="76">
        <f>VLOOKUP(B113,'Caso 2 (Socios)'!$A$4:$G$73,4,FALSE)</f>
        <v>9000</v>
      </c>
      <c r="J113" s="75" t="str">
        <f t="shared" si="3"/>
        <v>No</v>
      </c>
      <c r="K113" s="80" t="str">
        <f t="shared" si="4"/>
        <v>✔️</v>
      </c>
      <c r="L113" s="56" t="str">
        <f t="shared" si="5"/>
        <v>Normal</v>
      </c>
      <c r="N113" s="2" cm="1">
        <f t="array" ref="N113">SUMPRODUCT(
  (B$4:B113=B113)*
  (E$4:E113="Depósito")*
  (F$4:F113&gt;=15000)*
  (F$4:F113&lt;=49999)*
  (D$4:D113&gt;=D113-5)*
  (D$4:D113&lt;=D113)
)</f>
        <v>0</v>
      </c>
      <c r="O113" s="2" cm="1">
        <f t="array" ref="O113">IF(AND(E113="Retiro",F113&gt;=40000,G113="Sucursal"),
  SUMPRODUCT(
    (B$4:B113=B113)*
    (E$4:E113="Depósito")*
    (F$4:F113&gt;=F113*0.8)*
    (D$4:D113&gt;=D113-3)*
    (D$4:D113&lt;D113)
  ),0)</f>
        <v>0</v>
      </c>
    </row>
    <row r="114" spans="1:15" ht="18" customHeight="1" x14ac:dyDescent="0.25">
      <c r="A114" s="75">
        <v>111</v>
      </c>
      <c r="B114" s="75">
        <v>51</v>
      </c>
      <c r="C114" s="56" t="s">
        <v>60</v>
      </c>
      <c r="D114" s="56" t="s">
        <v>634</v>
      </c>
      <c r="E114" s="56" t="s">
        <v>490</v>
      </c>
      <c r="F114" s="76">
        <v>11200</v>
      </c>
      <c r="G114" s="56" t="s">
        <v>494</v>
      </c>
      <c r="H114" s="56" t="s">
        <v>635</v>
      </c>
      <c r="I114" s="76">
        <f>VLOOKUP(B114,'Caso 2 (Socios)'!$A$4:$G$73,4,FALSE)</f>
        <v>10900</v>
      </c>
      <c r="J114" s="75" t="str">
        <f t="shared" si="3"/>
        <v>No</v>
      </c>
      <c r="K114" s="80" t="str">
        <f t="shared" si="4"/>
        <v>✔️</v>
      </c>
      <c r="L114" s="56" t="str">
        <f t="shared" si="5"/>
        <v>Normal</v>
      </c>
      <c r="N114" s="2" cm="1">
        <f t="array" ref="N114">SUMPRODUCT(
  (B$4:B114=B114)*
  (E$4:E114="Depósito")*
  (F$4:F114&gt;=15000)*
  (F$4:F114&lt;=49999)*
  (D$4:D114&gt;=D114-5)*
  (D$4:D114&lt;=D114)
)</f>
        <v>2</v>
      </c>
      <c r="O114" s="2" cm="1">
        <f t="array" ref="O114">IF(AND(E114="Retiro",F114&gt;=40000,G114="Sucursal"),
  SUMPRODUCT(
    (B$4:B114=B114)*
    (E$4:E114="Depósito")*
    (F$4:F114&gt;=F114*0.8)*
    (D$4:D114&gt;=D114-3)*
    (D$4:D114&lt;D114)
  ),0)</f>
        <v>0</v>
      </c>
    </row>
    <row r="115" spans="1:15" ht="18" customHeight="1" x14ac:dyDescent="0.25">
      <c r="A115" s="59">
        <v>112</v>
      </c>
      <c r="B115" s="59">
        <v>55</v>
      </c>
      <c r="C115" s="55" t="s">
        <v>64</v>
      </c>
      <c r="D115" s="55" t="s">
        <v>636</v>
      </c>
      <c r="E115" s="55" t="s">
        <v>490</v>
      </c>
      <c r="F115" s="77">
        <v>8600</v>
      </c>
      <c r="G115" s="55" t="s">
        <v>491</v>
      </c>
      <c r="H115" s="55" t="s">
        <v>566</v>
      </c>
      <c r="I115" s="76">
        <f>VLOOKUP(B115,'Caso 2 (Socios)'!$A$4:$G$73,4,FALSE)</f>
        <v>8100</v>
      </c>
      <c r="J115" s="75" t="str">
        <f t="shared" si="3"/>
        <v>No</v>
      </c>
      <c r="K115" s="80" t="str">
        <f t="shared" si="4"/>
        <v>✔️</v>
      </c>
      <c r="L115" s="56" t="str">
        <f t="shared" si="5"/>
        <v>Normal</v>
      </c>
      <c r="N115" s="2" cm="1">
        <f t="array" ref="N115">SUMPRODUCT(
  (B$4:B115=B115)*
  (E$4:E115="Depósito")*
  (F$4:F115&gt;=15000)*
  (F$4:F115&lt;=49999)*
  (D$4:D115&gt;=D115-5)*
  (D$4:D115&lt;=D115)
)</f>
        <v>0</v>
      </c>
      <c r="O115" s="2" cm="1">
        <f t="array" ref="O115">IF(AND(E115="Retiro",F115&gt;=40000,G115="Sucursal"),
  SUMPRODUCT(
    (B$4:B115=B115)*
    (E$4:E115="Depósito")*
    (F$4:F115&gt;=F115*0.8)*
    (D$4:D115&gt;=D115-3)*
    (D$4:D115&lt;D115)
  ),0)</f>
        <v>0</v>
      </c>
    </row>
    <row r="116" spans="1:15" ht="18" customHeight="1" x14ac:dyDescent="0.25">
      <c r="A116" s="75">
        <v>113</v>
      </c>
      <c r="B116" s="75">
        <v>59</v>
      </c>
      <c r="C116" s="56" t="s">
        <v>471</v>
      </c>
      <c r="D116" s="56" t="s">
        <v>637</v>
      </c>
      <c r="E116" s="56" t="s">
        <v>490</v>
      </c>
      <c r="F116" s="76">
        <v>6600</v>
      </c>
      <c r="G116" s="56" t="s">
        <v>494</v>
      </c>
      <c r="H116" s="56" t="s">
        <v>513</v>
      </c>
      <c r="I116" s="76">
        <f>VLOOKUP(B116,'Caso 2 (Socios)'!$A$4:$G$73,4,FALSE)</f>
        <v>6000</v>
      </c>
      <c r="J116" s="75" t="str">
        <f t="shared" si="3"/>
        <v>No</v>
      </c>
      <c r="K116" s="80" t="str">
        <f t="shared" si="4"/>
        <v>✔️</v>
      </c>
      <c r="L116" s="56" t="str">
        <f t="shared" si="5"/>
        <v>Normal</v>
      </c>
      <c r="N116" s="2" cm="1">
        <f t="array" ref="N116">SUMPRODUCT(
  (B$4:B116=B116)*
  (E$4:E116="Depósito")*
  (F$4:F116&gt;=15000)*
  (F$4:F116&lt;=49999)*
  (D$4:D116&gt;=D116-5)*
  (D$4:D116&lt;=D116)
)</f>
        <v>0</v>
      </c>
      <c r="O116" s="2" cm="1">
        <f t="array" ref="O116">IF(AND(E116="Retiro",F116&gt;=40000,G116="Sucursal"),
  SUMPRODUCT(
    (B$4:B116=B116)*
    (E$4:E116="Depósito")*
    (F$4:F116&gt;=F116*0.8)*
    (D$4:D116&gt;=D116-3)*
    (D$4:D116&lt;D116)
  ),0)</f>
        <v>0</v>
      </c>
    </row>
    <row r="117" spans="1:15" ht="18" customHeight="1" x14ac:dyDescent="0.25">
      <c r="A117" s="59">
        <v>114</v>
      </c>
      <c r="B117" s="59">
        <v>12</v>
      </c>
      <c r="C117" s="55" t="s">
        <v>22</v>
      </c>
      <c r="D117" s="55" t="s">
        <v>638</v>
      </c>
      <c r="E117" s="55" t="s">
        <v>490</v>
      </c>
      <c r="F117" s="77">
        <v>102000</v>
      </c>
      <c r="G117" s="55" t="s">
        <v>494</v>
      </c>
      <c r="H117" s="55" t="s">
        <v>538</v>
      </c>
      <c r="I117" s="76">
        <f>VLOOKUP(B117,'Caso 2 (Socios)'!$A$4:$G$73,4,FALSE)</f>
        <v>14500</v>
      </c>
      <c r="J117" s="75" t="str">
        <f t="shared" si="3"/>
        <v>Sí</v>
      </c>
      <c r="K117" s="80" t="str">
        <f t="shared" si="4"/>
        <v>⚠️</v>
      </c>
      <c r="L117" s="56" t="str">
        <f t="shared" si="5"/>
        <v>Monto alto + Inconsistencia</v>
      </c>
      <c r="N117" s="2" cm="1">
        <f t="array" ref="N117">SUMPRODUCT(
  (B$4:B117=B117)*
  (E$4:E117="Depósito")*
  (F$4:F117&gt;=15000)*
  (F$4:F117&lt;=49999)*
  (D$4:D117&gt;=D117-5)*
  (D$4:D117&lt;=D117)
)</f>
        <v>0</v>
      </c>
      <c r="O117" s="2" cm="1">
        <f t="array" ref="O117">IF(AND(E117="Retiro",F117&gt;=40000,G117="Sucursal"),
  SUMPRODUCT(
    (B$4:B117=B117)*
    (E$4:E117="Depósito")*
    (F$4:F117&gt;=F117*0.8)*
    (D$4:D117&gt;=D117-3)*
    (D$4:D117&lt;D117)
  ),0)</f>
        <v>0</v>
      </c>
    </row>
    <row r="118" spans="1:15" ht="18" customHeight="1" x14ac:dyDescent="0.25">
      <c r="A118" s="75">
        <v>115</v>
      </c>
      <c r="B118" s="75">
        <v>16</v>
      </c>
      <c r="C118" s="56" t="s">
        <v>26</v>
      </c>
      <c r="D118" s="56" t="s">
        <v>639</v>
      </c>
      <c r="E118" s="56" t="s">
        <v>490</v>
      </c>
      <c r="F118" s="76">
        <v>12700</v>
      </c>
      <c r="G118" s="56" t="s">
        <v>491</v>
      </c>
      <c r="H118" s="56" t="s">
        <v>497</v>
      </c>
      <c r="I118" s="76">
        <f>VLOOKUP(B118,'Caso 2 (Socios)'!$A$4:$G$73,4,FALSE)</f>
        <v>12500</v>
      </c>
      <c r="J118" s="75" t="str">
        <f t="shared" si="3"/>
        <v>No</v>
      </c>
      <c r="K118" s="80" t="str">
        <f t="shared" si="4"/>
        <v>✔️</v>
      </c>
      <c r="L118" s="56" t="str">
        <f t="shared" si="5"/>
        <v>Normal</v>
      </c>
      <c r="N118" s="2" cm="1">
        <f t="array" ref="N118">SUMPRODUCT(
  (B$4:B118=B118)*
  (E$4:E118="Depósito")*
  (F$4:F118&gt;=15000)*
  (F$4:F118&lt;=49999)*
  (D$4:D118&gt;=D118-5)*
  (D$4:D118&lt;=D118)
)</f>
        <v>0</v>
      </c>
      <c r="O118" s="2" cm="1">
        <f t="array" ref="O118">IF(AND(E118="Retiro",F118&gt;=40000,G118="Sucursal"),
  SUMPRODUCT(
    (B$4:B118=B118)*
    (E$4:E118="Depósito")*
    (F$4:F118&gt;=F118*0.8)*
    (D$4:D118&gt;=D118-3)*
    (D$4:D118&lt;D118)
  ),0)</f>
        <v>0</v>
      </c>
    </row>
    <row r="119" spans="1:15" ht="18" customHeight="1" x14ac:dyDescent="0.25">
      <c r="A119" s="59">
        <v>116</v>
      </c>
      <c r="B119" s="59">
        <v>21</v>
      </c>
      <c r="C119" s="55" t="s">
        <v>31</v>
      </c>
      <c r="D119" s="55" t="s">
        <v>640</v>
      </c>
      <c r="E119" s="55" t="s">
        <v>490</v>
      </c>
      <c r="F119" s="77">
        <v>59000</v>
      </c>
      <c r="G119" s="55" t="s">
        <v>494</v>
      </c>
      <c r="H119" s="55" t="s">
        <v>541</v>
      </c>
      <c r="I119" s="76">
        <f>VLOOKUP(B119,'Caso 2 (Socios)'!$A$4:$G$73,4,FALSE)</f>
        <v>10500</v>
      </c>
      <c r="J119" s="75" t="str">
        <f t="shared" si="3"/>
        <v>Sí</v>
      </c>
      <c r="K119" s="80" t="str">
        <f t="shared" si="4"/>
        <v>⚠️</v>
      </c>
      <c r="L119" s="56" t="str">
        <f t="shared" si="5"/>
        <v>Monto alto + Inconsistencia</v>
      </c>
      <c r="N119" s="2" cm="1">
        <f t="array" ref="N119">SUMPRODUCT(
  (B$4:B119=B119)*
  (E$4:E119="Depósito")*
  (F$4:F119&gt;=15000)*
  (F$4:F119&lt;=49999)*
  (D$4:D119&gt;=D119-5)*
  (D$4:D119&lt;=D119)
)</f>
        <v>0</v>
      </c>
      <c r="O119" s="2" cm="1">
        <f t="array" ref="O119">IF(AND(E119="Retiro",F119&gt;=40000,G119="Sucursal"),
  SUMPRODUCT(
    (B$4:B119=B119)*
    (E$4:E119="Depósito")*
    (F$4:F119&gt;=F119*0.8)*
    (D$4:D119&gt;=D119-3)*
    (D$4:D119&lt;D119)
  ),0)</f>
        <v>0</v>
      </c>
    </row>
    <row r="120" spans="1:15" ht="18" customHeight="1" x14ac:dyDescent="0.25">
      <c r="A120" s="75">
        <v>117</v>
      </c>
      <c r="B120" s="75">
        <v>28</v>
      </c>
      <c r="C120" s="56" t="s">
        <v>38</v>
      </c>
      <c r="D120" s="56" t="s">
        <v>641</v>
      </c>
      <c r="E120" s="56" t="s">
        <v>490</v>
      </c>
      <c r="F120" s="76">
        <v>24000</v>
      </c>
      <c r="G120" s="56" t="s">
        <v>494</v>
      </c>
      <c r="H120" s="56" t="s">
        <v>544</v>
      </c>
      <c r="I120" s="76">
        <f>VLOOKUP(B120,'Caso 2 (Socios)'!$A$4:$G$73,4,FALSE)</f>
        <v>23000</v>
      </c>
      <c r="J120" s="75" t="str">
        <f t="shared" si="3"/>
        <v>No</v>
      </c>
      <c r="K120" s="80" t="str">
        <f t="shared" si="4"/>
        <v>✔️</v>
      </c>
      <c r="L120" s="56" t="str">
        <f t="shared" si="5"/>
        <v>Normal</v>
      </c>
      <c r="N120" s="2" cm="1">
        <f t="array" ref="N120">SUMPRODUCT(
  (B$4:B120=B120)*
  (E$4:E120="Depósito")*
  (F$4:F120&gt;=15000)*
  (F$4:F120&lt;=49999)*
  (D$4:D120&gt;=D120-5)*
  (D$4:D120&lt;=D120)
)</f>
        <v>1</v>
      </c>
      <c r="O120" s="2" cm="1">
        <f t="array" ref="O120">IF(AND(E120="Retiro",F120&gt;=40000,G120="Sucursal"),
  SUMPRODUCT(
    (B$4:B120=B120)*
    (E$4:E120="Depósito")*
    (F$4:F120&gt;=F120*0.8)*
    (D$4:D120&gt;=D120-3)*
    (D$4:D120&lt;D120)
  ),0)</f>
        <v>0</v>
      </c>
    </row>
    <row r="121" spans="1:15" ht="18" customHeight="1" x14ac:dyDescent="0.25">
      <c r="A121" s="59">
        <v>118</v>
      </c>
      <c r="B121" s="59">
        <v>35</v>
      </c>
      <c r="C121" s="55" t="s">
        <v>44</v>
      </c>
      <c r="D121" s="55" t="s">
        <v>642</v>
      </c>
      <c r="E121" s="55" t="s">
        <v>490</v>
      </c>
      <c r="F121" s="77">
        <v>98000</v>
      </c>
      <c r="G121" s="55" t="s">
        <v>494</v>
      </c>
      <c r="H121" s="55" t="s">
        <v>574</v>
      </c>
      <c r="I121" s="76">
        <f>VLOOKUP(B121,'Caso 2 (Socios)'!$A$4:$G$73,4,FALSE)</f>
        <v>30000</v>
      </c>
      <c r="J121" s="75" t="str">
        <f t="shared" si="3"/>
        <v>Sí</v>
      </c>
      <c r="K121" s="80" t="str">
        <f t="shared" si="4"/>
        <v>⚠️</v>
      </c>
      <c r="L121" s="56" t="str">
        <f t="shared" si="5"/>
        <v>Monto alto + Inconsistencia</v>
      </c>
      <c r="N121" s="2" cm="1">
        <f t="array" ref="N121">SUMPRODUCT(
  (B$4:B121=B121)*
  (E$4:E121="Depósito")*
  (F$4:F121&gt;=15000)*
  (F$4:F121&lt;=49999)*
  (D$4:D121&gt;=D121-5)*
  (D$4:D121&lt;=D121)
)</f>
        <v>0</v>
      </c>
      <c r="O121" s="2" cm="1">
        <f t="array" ref="O121">IF(AND(E121="Retiro",F121&gt;=40000,G121="Sucursal"),
  SUMPRODUCT(
    (B$4:B121=B121)*
    (E$4:E121="Depósito")*
    (F$4:F121&gt;=F121*0.8)*
    (D$4:D121&gt;=D121-3)*
    (D$4:D121&lt;D121)
  ),0)</f>
        <v>0</v>
      </c>
    </row>
    <row r="122" spans="1:15" ht="18" customHeight="1" x14ac:dyDescent="0.25">
      <c r="A122" s="75">
        <v>119</v>
      </c>
      <c r="B122" s="75">
        <v>41</v>
      </c>
      <c r="C122" s="56" t="s">
        <v>50</v>
      </c>
      <c r="D122" s="56" t="s">
        <v>643</v>
      </c>
      <c r="E122" s="56" t="s">
        <v>490</v>
      </c>
      <c r="F122" s="76">
        <v>17800</v>
      </c>
      <c r="G122" s="56" t="s">
        <v>494</v>
      </c>
      <c r="H122" s="56" t="s">
        <v>517</v>
      </c>
      <c r="I122" s="76">
        <f>VLOOKUP(B122,'Caso 2 (Socios)'!$A$4:$G$73,4,FALSE)</f>
        <v>16800</v>
      </c>
      <c r="J122" s="75" t="str">
        <f t="shared" si="3"/>
        <v>No</v>
      </c>
      <c r="K122" s="80" t="str">
        <f t="shared" si="4"/>
        <v>⚠️</v>
      </c>
      <c r="L122" s="56" t="str">
        <f t="shared" si="5"/>
        <v>Posible fraccionamiento</v>
      </c>
      <c r="N122" s="2" cm="1">
        <f t="array" ref="N122">SUMPRODUCT(
  (B$4:B122=B122)*
  (E$4:E122="Depósito")*
  (F$4:F122&gt;=15000)*
  (F$4:F122&lt;=49999)*
  (D$4:D122&gt;=D122-5)*
  (D$4:D122&lt;=D122)
)</f>
        <v>2</v>
      </c>
      <c r="O122" s="2" cm="1">
        <f t="array" ref="O122">IF(AND(E122="Retiro",F122&gt;=40000,G122="Sucursal"),
  SUMPRODUCT(
    (B$4:B122=B122)*
    (E$4:E122="Depósito")*
    (F$4:F122&gt;=F122*0.8)*
    (D$4:D122&gt;=D122-3)*
    (D$4:D122&lt;D122)
  ),0)</f>
        <v>0</v>
      </c>
    </row>
    <row r="123" spans="1:15" ht="18" customHeight="1" x14ac:dyDescent="0.25">
      <c r="A123" s="59">
        <v>120</v>
      </c>
      <c r="B123" s="59">
        <v>45</v>
      </c>
      <c r="C123" s="55" t="s">
        <v>54</v>
      </c>
      <c r="D123" s="55" t="s">
        <v>644</v>
      </c>
      <c r="E123" s="55" t="s">
        <v>490</v>
      </c>
      <c r="F123" s="77">
        <v>25000</v>
      </c>
      <c r="G123" s="55" t="s">
        <v>491</v>
      </c>
      <c r="H123" s="55" t="s">
        <v>544</v>
      </c>
      <c r="I123" s="76">
        <f>VLOOKUP(B123,'Caso 2 (Socios)'!$A$4:$G$73,4,FALSE)</f>
        <v>24000</v>
      </c>
      <c r="J123" s="75" t="str">
        <f t="shared" si="3"/>
        <v>No</v>
      </c>
      <c r="K123" s="80" t="str">
        <f t="shared" si="4"/>
        <v>⚠️</v>
      </c>
      <c r="L123" s="56" t="str">
        <f t="shared" si="5"/>
        <v>Posible fraccionamiento</v>
      </c>
      <c r="N123" s="2" cm="1">
        <f t="array" ref="N123">SUMPRODUCT(
  (B$4:B123=B123)*
  (E$4:E123="Depósito")*
  (F$4:F123&gt;=15000)*
  (F$4:F123&lt;=49999)*
  (D$4:D123&gt;=D123-5)*
  (D$4:D123&lt;=D123)
)</f>
        <v>3</v>
      </c>
      <c r="O123" s="2" cm="1">
        <f t="array" ref="O123">IF(AND(E123="Retiro",F123&gt;=40000,G123="Sucursal"),
  SUMPRODUCT(
    (B$4:B123=B123)*
    (E$4:E123="Depósito")*
    (F$4:F123&gt;=F123*0.8)*
    (D$4:D123&gt;=D123-3)*
    (D$4:D123&lt;D123)
  ),0)</f>
        <v>0</v>
      </c>
    </row>
    <row r="124" spans="1:15" ht="18" customHeight="1" x14ac:dyDescent="0.25">
      <c r="A124" s="75">
        <v>121</v>
      </c>
      <c r="B124" s="75">
        <v>49</v>
      </c>
      <c r="C124" s="56" t="s">
        <v>58</v>
      </c>
      <c r="D124" s="56" t="s">
        <v>645</v>
      </c>
      <c r="E124" s="56" t="s">
        <v>490</v>
      </c>
      <c r="F124" s="76">
        <v>28500</v>
      </c>
      <c r="G124" s="56" t="s">
        <v>494</v>
      </c>
      <c r="H124" s="56" t="s">
        <v>570</v>
      </c>
      <c r="I124" s="76">
        <f>VLOOKUP(B124,'Caso 2 (Socios)'!$A$4:$G$73,4,FALSE)</f>
        <v>27000</v>
      </c>
      <c r="J124" s="75" t="str">
        <f t="shared" si="3"/>
        <v>No</v>
      </c>
      <c r="K124" s="80" t="str">
        <f t="shared" si="4"/>
        <v>⚠️</v>
      </c>
      <c r="L124" s="56" t="str">
        <f t="shared" si="5"/>
        <v>Posible fraccionamiento</v>
      </c>
      <c r="N124" s="2" cm="1">
        <f t="array" ref="N124">SUMPRODUCT(
  (B$4:B124=B124)*
  (E$4:E124="Depósito")*
  (F$4:F124&gt;=15000)*
  (F$4:F124&lt;=49999)*
  (D$4:D124&gt;=D124-5)*
  (D$4:D124&lt;=D124)
)</f>
        <v>2</v>
      </c>
      <c r="O124" s="2" cm="1">
        <f t="array" ref="O124">IF(AND(E124="Retiro",F124&gt;=40000,G124="Sucursal"),
  SUMPRODUCT(
    (B$4:B124=B124)*
    (E$4:E124="Depósito")*
    (F$4:F124&gt;=F124*0.8)*
    (D$4:D124&gt;=D124-3)*
    (D$4:D124&lt;D124)
  ),0)</f>
        <v>0</v>
      </c>
    </row>
    <row r="125" spans="1:15" ht="18" customHeight="1" x14ac:dyDescent="0.25">
      <c r="A125" s="59">
        <v>122</v>
      </c>
      <c r="B125" s="59">
        <v>53</v>
      </c>
      <c r="C125" s="55" t="s">
        <v>62</v>
      </c>
      <c r="D125" s="55" t="s">
        <v>646</v>
      </c>
      <c r="E125" s="55" t="s">
        <v>490</v>
      </c>
      <c r="F125" s="77">
        <v>20100</v>
      </c>
      <c r="G125" s="55" t="s">
        <v>494</v>
      </c>
      <c r="H125" s="55" t="s">
        <v>517</v>
      </c>
      <c r="I125" s="76">
        <f>VLOOKUP(B125,'Caso 2 (Socios)'!$A$4:$G$73,4,FALSE)</f>
        <v>19500</v>
      </c>
      <c r="J125" s="75" t="str">
        <f t="shared" si="3"/>
        <v>No</v>
      </c>
      <c r="K125" s="80" t="str">
        <f t="shared" si="4"/>
        <v>⚠️</v>
      </c>
      <c r="L125" s="56" t="str">
        <f t="shared" si="5"/>
        <v>Posible fraccionamiento</v>
      </c>
      <c r="N125" s="2" cm="1">
        <f t="array" ref="N125">SUMPRODUCT(
  (B$4:B125=B125)*
  (E$4:E125="Depósito")*
  (F$4:F125&gt;=15000)*
  (F$4:F125&lt;=49999)*
  (D$4:D125&gt;=D125-5)*
  (D$4:D125&lt;=D125)
)</f>
        <v>2</v>
      </c>
      <c r="O125" s="2" cm="1">
        <f t="array" ref="O125">IF(AND(E125="Retiro",F125&gt;=40000,G125="Sucursal"),
  SUMPRODUCT(
    (B$4:B125=B125)*
    (E$4:E125="Depósito")*
    (F$4:F125&gt;=F125*0.8)*
    (D$4:D125&gt;=D125-3)*
    (D$4:D125&lt;D125)
  ),0)</f>
        <v>0</v>
      </c>
    </row>
    <row r="126" spans="1:15" ht="18" customHeight="1" x14ac:dyDescent="0.25">
      <c r="A126" s="75">
        <v>123</v>
      </c>
      <c r="B126" s="75">
        <v>57</v>
      </c>
      <c r="C126" s="56" t="s">
        <v>469</v>
      </c>
      <c r="D126" s="56" t="s">
        <v>647</v>
      </c>
      <c r="E126" s="56" t="s">
        <v>490</v>
      </c>
      <c r="F126" s="76">
        <v>5200</v>
      </c>
      <c r="G126" s="56" t="s">
        <v>491</v>
      </c>
      <c r="H126" s="56" t="s">
        <v>513</v>
      </c>
      <c r="I126" s="76">
        <f>VLOOKUP(B126,'Caso 2 (Socios)'!$A$4:$G$73,4,FALSE)</f>
        <v>4500</v>
      </c>
      <c r="J126" s="75" t="str">
        <f t="shared" si="3"/>
        <v>No</v>
      </c>
      <c r="K126" s="80" t="str">
        <f t="shared" si="4"/>
        <v>✔️</v>
      </c>
      <c r="L126" s="56" t="str">
        <f t="shared" si="5"/>
        <v>Normal</v>
      </c>
      <c r="N126" s="2" cm="1">
        <f t="array" ref="N126">SUMPRODUCT(
  (B$4:B126=B126)*
  (E$4:E126="Depósito")*
  (F$4:F126&gt;=15000)*
  (F$4:F126&lt;=49999)*
  (D$4:D126&gt;=D126-5)*
  (D$4:D126&lt;=D126)
)</f>
        <v>0</v>
      </c>
      <c r="O126" s="2" cm="1">
        <f t="array" ref="O126">IF(AND(E126="Retiro",F126&gt;=40000,G126="Sucursal"),
  SUMPRODUCT(
    (B$4:B126=B126)*
    (E$4:E126="Depósito")*
    (F$4:F126&gt;=F126*0.8)*
    (D$4:D126&gt;=D126-3)*
    (D$4:D126&lt;D126)
  ),0)</f>
        <v>0</v>
      </c>
    </row>
    <row r="127" spans="1:15" ht="18" customHeight="1" x14ac:dyDescent="0.25">
      <c r="A127" s="59">
        <v>124</v>
      </c>
      <c r="B127" s="59">
        <v>60</v>
      </c>
      <c r="C127" s="55" t="s">
        <v>472</v>
      </c>
      <c r="D127" s="55" t="s">
        <v>648</v>
      </c>
      <c r="E127" s="55" t="s">
        <v>490</v>
      </c>
      <c r="F127" s="77">
        <v>90000</v>
      </c>
      <c r="G127" s="55" t="s">
        <v>494</v>
      </c>
      <c r="H127" s="55" t="s">
        <v>559</v>
      </c>
      <c r="I127" s="76">
        <f>VLOOKUP(B127,'Caso 2 (Socios)'!$A$4:$G$73,4,FALSE)</f>
        <v>22000</v>
      </c>
      <c r="J127" s="75" t="str">
        <f t="shared" si="3"/>
        <v>Sí</v>
      </c>
      <c r="K127" s="80" t="str">
        <f t="shared" si="4"/>
        <v>⚠️</v>
      </c>
      <c r="L127" s="56" t="str">
        <f t="shared" si="5"/>
        <v>Monto alto + Inconsistencia</v>
      </c>
      <c r="N127" s="2" cm="1">
        <f t="array" ref="N127">SUMPRODUCT(
  (B$4:B127=B127)*
  (E$4:E127="Depósito")*
  (F$4:F127&gt;=15000)*
  (F$4:F127&lt;=49999)*
  (D$4:D127&gt;=D127-5)*
  (D$4:D127&lt;=D127)
)</f>
        <v>1</v>
      </c>
      <c r="O127" s="2" cm="1">
        <f t="array" ref="O127">IF(AND(E127="Retiro",F127&gt;=40000,G127="Sucursal"),
  SUMPRODUCT(
    (B$4:B127=B127)*
    (E$4:E127="Depósito")*
    (F$4:F127&gt;=F127*0.8)*
    (D$4:D127&gt;=D127-3)*
    (D$4:D127&lt;D127)
  ),0)</f>
        <v>0</v>
      </c>
    </row>
    <row r="128" spans="1:15" ht="18" customHeight="1" x14ac:dyDescent="0.25">
      <c r="A128" s="75">
        <v>125</v>
      </c>
      <c r="B128" s="75">
        <v>11</v>
      </c>
      <c r="C128" s="56" t="s">
        <v>21</v>
      </c>
      <c r="D128" s="56" t="s">
        <v>649</v>
      </c>
      <c r="E128" s="56" t="s">
        <v>490</v>
      </c>
      <c r="F128" s="76">
        <v>8400</v>
      </c>
      <c r="G128" s="56" t="s">
        <v>494</v>
      </c>
      <c r="H128" s="56" t="s">
        <v>553</v>
      </c>
      <c r="I128" s="76">
        <f>VLOOKUP(B128,'Caso 2 (Socios)'!$A$4:$G$73,4,FALSE)</f>
        <v>7800</v>
      </c>
      <c r="J128" s="75" t="str">
        <f t="shared" si="3"/>
        <v>No</v>
      </c>
      <c r="K128" s="80" t="str">
        <f t="shared" si="4"/>
        <v>✔️</v>
      </c>
      <c r="L128" s="56" t="str">
        <f t="shared" si="5"/>
        <v>Normal</v>
      </c>
      <c r="N128" s="2" cm="1">
        <f t="array" ref="N128">SUMPRODUCT(
  (B$4:B128=B128)*
  (E$4:E128="Depósito")*
  (F$4:F128&gt;=15000)*
  (F$4:F128&lt;=49999)*
  (D$4:D128&gt;=D128-5)*
  (D$4:D128&lt;=D128)
)</f>
        <v>0</v>
      </c>
      <c r="O128" s="2" cm="1">
        <f t="array" ref="O128">IF(AND(E128="Retiro",F128&gt;=40000,G128="Sucursal"),
  SUMPRODUCT(
    (B$4:B128=B128)*
    (E$4:E128="Depósito")*
    (F$4:F128&gt;=F128*0.8)*
    (D$4:D128&gt;=D128-3)*
    (D$4:D128&lt;D128)
  ),0)</f>
        <v>0</v>
      </c>
    </row>
    <row r="129" spans="1:15" ht="18" customHeight="1" x14ac:dyDescent="0.25">
      <c r="A129" s="59">
        <v>126</v>
      </c>
      <c r="B129" s="59">
        <v>17</v>
      </c>
      <c r="C129" s="55" t="s">
        <v>27</v>
      </c>
      <c r="D129" s="55" t="s">
        <v>650</v>
      </c>
      <c r="E129" s="55" t="s">
        <v>490</v>
      </c>
      <c r="F129" s="77">
        <v>18200</v>
      </c>
      <c r="G129" s="55" t="s">
        <v>494</v>
      </c>
      <c r="H129" s="55" t="s">
        <v>563</v>
      </c>
      <c r="I129" s="76">
        <f>VLOOKUP(B129,'Caso 2 (Socios)'!$A$4:$G$73,4,FALSE)</f>
        <v>16000</v>
      </c>
      <c r="J129" s="75" t="str">
        <f t="shared" si="3"/>
        <v>No</v>
      </c>
      <c r="K129" s="80" t="str">
        <f t="shared" si="4"/>
        <v>✔️</v>
      </c>
      <c r="L129" s="56" t="str">
        <f t="shared" si="5"/>
        <v>Normal</v>
      </c>
      <c r="N129" s="2" cm="1">
        <f t="array" ref="N129">SUMPRODUCT(
  (B$4:B129=B129)*
  (E$4:E129="Depósito")*
  (F$4:F129&gt;=15000)*
  (F$4:F129&lt;=49999)*
  (D$4:D129&gt;=D129-5)*
  (D$4:D129&lt;=D129)
)</f>
        <v>1</v>
      </c>
      <c r="O129" s="2" cm="1">
        <f t="array" ref="O129">IF(AND(E129="Retiro",F129&gt;=40000,G129="Sucursal"),
  SUMPRODUCT(
    (B$4:B129=B129)*
    (E$4:E129="Depósito")*
    (F$4:F129&gt;=F129*0.8)*
    (D$4:D129&gt;=D129-3)*
    (D$4:D129&lt;D129)
  ),0)</f>
        <v>0</v>
      </c>
    </row>
    <row r="130" spans="1:15" ht="18" customHeight="1" x14ac:dyDescent="0.25">
      <c r="A130" s="75">
        <v>127</v>
      </c>
      <c r="B130" s="75">
        <v>25</v>
      </c>
      <c r="C130" s="56" t="s">
        <v>35</v>
      </c>
      <c r="D130" s="56" t="s">
        <v>651</v>
      </c>
      <c r="E130" s="56" t="s">
        <v>490</v>
      </c>
      <c r="F130" s="76">
        <v>9900</v>
      </c>
      <c r="G130" s="56" t="s">
        <v>491</v>
      </c>
      <c r="H130" s="56" t="s">
        <v>553</v>
      </c>
      <c r="I130" s="76">
        <f>VLOOKUP(B130,'Caso 2 (Socios)'!$A$4:$G$73,4,FALSE)</f>
        <v>9200</v>
      </c>
      <c r="J130" s="75" t="str">
        <f t="shared" si="3"/>
        <v>No</v>
      </c>
      <c r="K130" s="80" t="str">
        <f t="shared" si="4"/>
        <v>✔️</v>
      </c>
      <c r="L130" s="56" t="str">
        <f t="shared" si="5"/>
        <v>Normal</v>
      </c>
      <c r="N130" s="2" cm="1">
        <f t="array" ref="N130">SUMPRODUCT(
  (B$4:B130=B130)*
  (E$4:E130="Depósito")*
  (F$4:F130&gt;=15000)*
  (F$4:F130&lt;=49999)*
  (D$4:D130&gt;=D130-5)*
  (D$4:D130&lt;=D130)
)</f>
        <v>0</v>
      </c>
      <c r="O130" s="2" cm="1">
        <f t="array" ref="O130">IF(AND(E130="Retiro",F130&gt;=40000,G130="Sucursal"),
  SUMPRODUCT(
    (B$4:B130=B130)*
    (E$4:E130="Depósito")*
    (F$4:F130&gt;=F130*0.8)*
    (D$4:D130&gt;=D130-3)*
    (D$4:D130&lt;D130)
  ),0)</f>
        <v>0</v>
      </c>
    </row>
    <row r="131" spans="1:15" ht="18" customHeight="1" x14ac:dyDescent="0.25">
      <c r="A131" s="59">
        <v>128</v>
      </c>
      <c r="B131" s="59">
        <v>31</v>
      </c>
      <c r="C131" s="55" t="s">
        <v>41</v>
      </c>
      <c r="D131" s="55" t="s">
        <v>652</v>
      </c>
      <c r="E131" s="55" t="s">
        <v>490</v>
      </c>
      <c r="F131" s="77">
        <v>70000</v>
      </c>
      <c r="G131" s="55" t="s">
        <v>494</v>
      </c>
      <c r="H131" s="55" t="s">
        <v>653</v>
      </c>
      <c r="I131" s="76">
        <f>VLOOKUP(B131,'Caso 2 (Socios)'!$A$4:$G$73,4,FALSE)</f>
        <v>25000</v>
      </c>
      <c r="J131" s="75" t="str">
        <f t="shared" si="3"/>
        <v>No</v>
      </c>
      <c r="K131" s="80" t="str">
        <f t="shared" si="4"/>
        <v>⚠️</v>
      </c>
      <c r="L131" s="56" t="str">
        <f t="shared" si="5"/>
        <v>Monto alto en efectivo</v>
      </c>
      <c r="N131" s="2" cm="1">
        <f t="array" ref="N131">SUMPRODUCT(
  (B$4:B131=B131)*
  (E$4:E131="Depósito")*
  (F$4:F131&gt;=15000)*
  (F$4:F131&lt;=49999)*
  (D$4:D131&gt;=D131-5)*
  (D$4:D131&lt;=D131)
)</f>
        <v>0</v>
      </c>
      <c r="O131" s="2" cm="1">
        <f t="array" ref="O131">IF(AND(E131="Retiro",F131&gt;=40000,G131="Sucursal"),
  SUMPRODUCT(
    (B$4:B131=B131)*
    (E$4:E131="Depósito")*
    (F$4:F131&gt;=F131*0.8)*
    (D$4:D131&gt;=D131-3)*
    (D$4:D131&lt;D131)
  ),0)</f>
        <v>0</v>
      </c>
    </row>
    <row r="132" spans="1:15" ht="18" customHeight="1" x14ac:dyDescent="0.25">
      <c r="A132" s="75">
        <v>129</v>
      </c>
      <c r="B132" s="75">
        <v>37</v>
      </c>
      <c r="C132" s="56" t="s">
        <v>46</v>
      </c>
      <c r="D132" s="56" t="s">
        <v>654</v>
      </c>
      <c r="E132" s="56" t="s">
        <v>490</v>
      </c>
      <c r="F132" s="76">
        <v>47500</v>
      </c>
      <c r="G132" s="56" t="s">
        <v>494</v>
      </c>
      <c r="H132" s="56" t="s">
        <v>553</v>
      </c>
      <c r="I132" s="76">
        <f>VLOOKUP(B132,'Caso 2 (Socios)'!$A$4:$G$73,4,FALSE)</f>
        <v>7900</v>
      </c>
      <c r="J132" s="75" t="str">
        <f t="shared" si="3"/>
        <v>Sí</v>
      </c>
      <c r="K132" s="80" t="str">
        <f t="shared" si="4"/>
        <v>⚠️</v>
      </c>
      <c r="L132" s="56" t="str">
        <f t="shared" si="5"/>
        <v>Inconsistencia de perfil</v>
      </c>
      <c r="N132" s="2" cm="1">
        <f t="array" ref="N132">SUMPRODUCT(
  (B$4:B132=B132)*
  (E$4:E132="Depósito")*
  (F$4:F132&gt;=15000)*
  (F$4:F132&lt;=49999)*
  (D$4:D132&gt;=D132-5)*
  (D$4:D132&lt;=D132)
)</f>
        <v>1</v>
      </c>
      <c r="O132" s="2" cm="1">
        <f t="array" ref="O132">IF(AND(E132="Retiro",F132&gt;=40000,G132="Sucursal"),
  SUMPRODUCT(
    (B$4:B132=B132)*
    (E$4:E132="Depósito")*
    (F$4:F132&gt;=F132*0.8)*
    (D$4:D132&gt;=D132-3)*
    (D$4:D132&lt;D132)
  ),0)</f>
        <v>0</v>
      </c>
    </row>
    <row r="133" spans="1:15" ht="18" customHeight="1" x14ac:dyDescent="0.25">
      <c r="A133" s="59">
        <v>130</v>
      </c>
      <c r="B133" s="59">
        <v>37</v>
      </c>
      <c r="C133" s="55" t="s">
        <v>46</v>
      </c>
      <c r="D133" s="55" t="s">
        <v>655</v>
      </c>
      <c r="E133" s="55" t="s">
        <v>490</v>
      </c>
      <c r="F133" s="77">
        <v>46000</v>
      </c>
      <c r="G133" s="55" t="s">
        <v>494</v>
      </c>
      <c r="H133" s="55" t="s">
        <v>553</v>
      </c>
      <c r="I133" s="76">
        <f>VLOOKUP(B133,'Caso 2 (Socios)'!$A$4:$G$73,4,FALSE)</f>
        <v>7900</v>
      </c>
      <c r="J133" s="75" t="str">
        <f t="shared" ref="J133:J196" si="6">IF(F133 &gt; I133*3, "Sí", "No")</f>
        <v>Sí</v>
      </c>
      <c r="K133" s="80" t="str">
        <f t="shared" ref="K133:K196" si="7">IF(L133="Normal", "✔️", "⚠️")</f>
        <v>⚠️</v>
      </c>
      <c r="L133" s="56" t="str">
        <f t="shared" ref="L133:L196" si="8">IF(AND(E133="Depósito",F133&gt;=50000,F133&gt;I133*3,G133="Sucursal"),"Monto alto + Inconsistencia",IF(AND(E133="Retiro",F133&gt;=50000,F133&gt;I133*3,G133="Sucursal"),"Monto alto + Inconsistencia",IF(AND(E133="Depósito",F133&gt;=50000,G133="Sucursal"),"Monto alto en efectivo",IF(AND(E133="Retiro",F133&gt;=40000,G133="Sucursal",O133&gt;=1),"Retiro inmediato",IF(AND(E133="Depósito",F133&gt;I133*3,F133&gt;=15000),"Inconsistencia de perfil",IF(AND(E133="Depósito",F133&gt;=15000,F133&lt;=49999,N133&gt;=2),"Posible fraccionamiento","Normal"))))))</f>
        <v>Inconsistencia de perfil</v>
      </c>
      <c r="N133" s="2" cm="1">
        <f t="array" ref="N133">SUMPRODUCT(
  (B$4:B133=B133)*
  (E$4:E133="Depósito")*
  (F$4:F133&gt;=15000)*
  (F$4:F133&lt;=49999)*
  (D$4:D133&gt;=D133-5)*
  (D$4:D133&lt;=D133)
)</f>
        <v>2</v>
      </c>
      <c r="O133" s="2" cm="1">
        <f t="array" ref="O133">IF(AND(E133="Retiro",F133&gt;=40000,G133="Sucursal"),
  SUMPRODUCT(
    (B$4:B133=B133)*
    (E$4:E133="Depósito")*
    (F$4:F133&gt;=F133*0.8)*
    (D$4:D133&gt;=D133-3)*
    (D$4:D133&lt;D133)
  ),0)</f>
        <v>0</v>
      </c>
    </row>
    <row r="134" spans="1:15" ht="18" customHeight="1" x14ac:dyDescent="0.25">
      <c r="A134" s="75">
        <v>131</v>
      </c>
      <c r="B134" s="75">
        <v>54</v>
      </c>
      <c r="C134" s="56" t="s">
        <v>63</v>
      </c>
      <c r="D134" s="56" t="s">
        <v>656</v>
      </c>
      <c r="E134" s="56" t="s">
        <v>490</v>
      </c>
      <c r="F134" s="76">
        <v>16800</v>
      </c>
      <c r="G134" s="56" t="s">
        <v>494</v>
      </c>
      <c r="H134" s="56" t="s">
        <v>529</v>
      </c>
      <c r="I134" s="76">
        <f>VLOOKUP(B134,'Caso 2 (Socios)'!$A$4:$G$73,4,FALSE)</f>
        <v>15500</v>
      </c>
      <c r="J134" s="75" t="str">
        <f t="shared" si="6"/>
        <v>No</v>
      </c>
      <c r="K134" s="80" t="str">
        <f t="shared" si="7"/>
        <v>✔️</v>
      </c>
      <c r="L134" s="56" t="str">
        <f t="shared" si="8"/>
        <v>Normal</v>
      </c>
      <c r="N134" s="2" cm="1">
        <f t="array" ref="N134">SUMPRODUCT(
  (B$4:B134=B134)*
  (E$4:E134="Depósito")*
  (F$4:F134&gt;=15000)*
  (F$4:F134&lt;=49999)*
  (D$4:D134&gt;=D134-5)*
  (D$4:D134&lt;=D134)
)</f>
        <v>1</v>
      </c>
      <c r="O134" s="2" cm="1">
        <f t="array" ref="O134">IF(AND(E134="Retiro",F134&gt;=40000,G134="Sucursal"),
  SUMPRODUCT(
    (B$4:B134=B134)*
    (E$4:E134="Depósito")*
    (F$4:F134&gt;=F134*0.8)*
    (D$4:D134&gt;=D134-3)*
    (D$4:D134&lt;D134)
  ),0)</f>
        <v>0</v>
      </c>
    </row>
    <row r="135" spans="1:15" ht="18" customHeight="1" x14ac:dyDescent="0.25">
      <c r="A135" s="59">
        <v>132</v>
      </c>
      <c r="B135" s="59">
        <v>58</v>
      </c>
      <c r="C135" s="55" t="s">
        <v>470</v>
      </c>
      <c r="D135" s="55" t="s">
        <v>657</v>
      </c>
      <c r="E135" s="55" t="s">
        <v>490</v>
      </c>
      <c r="F135" s="77">
        <v>118000</v>
      </c>
      <c r="G135" s="55" t="s">
        <v>494</v>
      </c>
      <c r="H135" s="55" t="s">
        <v>574</v>
      </c>
      <c r="I135" s="76">
        <f>VLOOKUP(B135,'Caso 2 (Socios)'!$A$4:$G$73,4,FALSE)</f>
        <v>25000</v>
      </c>
      <c r="J135" s="75" t="str">
        <f t="shared" si="6"/>
        <v>Sí</v>
      </c>
      <c r="K135" s="80" t="str">
        <f t="shared" si="7"/>
        <v>⚠️</v>
      </c>
      <c r="L135" s="56" t="str">
        <f t="shared" si="8"/>
        <v>Monto alto + Inconsistencia</v>
      </c>
      <c r="N135" s="2" cm="1">
        <f t="array" ref="N135">SUMPRODUCT(
  (B$4:B135=B135)*
  (E$4:E135="Depósito")*
  (F$4:F135&gt;=15000)*
  (F$4:F135&lt;=49999)*
  (D$4:D135&gt;=D135-5)*
  (D$4:D135&lt;=D135)
)</f>
        <v>0</v>
      </c>
      <c r="O135" s="2" cm="1">
        <f t="array" ref="O135">IF(AND(E135="Retiro",F135&gt;=40000,G135="Sucursal"),
  SUMPRODUCT(
    (B$4:B135=B135)*
    (E$4:E135="Depósito")*
    (F$4:F135&gt;=F135*0.8)*
    (D$4:D135&gt;=D135-3)*
    (D$4:D135&lt;D135)
  ),0)</f>
        <v>0</v>
      </c>
    </row>
    <row r="136" spans="1:15" ht="18" customHeight="1" x14ac:dyDescent="0.25">
      <c r="A136" s="75">
        <v>133</v>
      </c>
      <c r="B136" s="75">
        <v>8</v>
      </c>
      <c r="C136" s="56" t="s">
        <v>10</v>
      </c>
      <c r="D136" s="56" t="s">
        <v>658</v>
      </c>
      <c r="E136" s="56" t="s">
        <v>490</v>
      </c>
      <c r="F136" s="76">
        <v>6800</v>
      </c>
      <c r="G136" s="56" t="s">
        <v>491</v>
      </c>
      <c r="H136" s="56" t="s">
        <v>513</v>
      </c>
      <c r="I136" s="76">
        <f>VLOOKUP(B136,'Caso 2 (Socios)'!$A$4:$G$73,4,FALSE)</f>
        <v>6000</v>
      </c>
      <c r="J136" s="75" t="str">
        <f t="shared" si="6"/>
        <v>No</v>
      </c>
      <c r="K136" s="80" t="str">
        <f t="shared" si="7"/>
        <v>✔️</v>
      </c>
      <c r="L136" s="56" t="str">
        <f t="shared" si="8"/>
        <v>Normal</v>
      </c>
      <c r="N136" s="2" cm="1">
        <f t="array" ref="N136">SUMPRODUCT(
  (B$4:B136=B136)*
  (E$4:E136="Depósito")*
  (F$4:F136&gt;=15000)*
  (F$4:F136&lt;=49999)*
  (D$4:D136&gt;=D136-5)*
  (D$4:D136&lt;=D136)
)</f>
        <v>0</v>
      </c>
      <c r="O136" s="2" cm="1">
        <f t="array" ref="O136">IF(AND(E136="Retiro",F136&gt;=40000,G136="Sucursal"),
  SUMPRODUCT(
    (B$4:B136=B136)*
    (E$4:E136="Depósito")*
    (F$4:F136&gt;=F136*0.8)*
    (D$4:D136&gt;=D136-3)*
    (D$4:D136&lt;D136)
  ),0)</f>
        <v>0</v>
      </c>
    </row>
    <row r="137" spans="1:15" ht="18" customHeight="1" x14ac:dyDescent="0.25">
      <c r="A137" s="59">
        <v>134</v>
      </c>
      <c r="B137" s="59">
        <v>44</v>
      </c>
      <c r="C137" s="55" t="s">
        <v>53</v>
      </c>
      <c r="D137" s="55" t="s">
        <v>659</v>
      </c>
      <c r="E137" s="55" t="s">
        <v>490</v>
      </c>
      <c r="F137" s="77">
        <v>15300</v>
      </c>
      <c r="G137" s="55" t="s">
        <v>494</v>
      </c>
      <c r="H137" s="55" t="s">
        <v>529</v>
      </c>
      <c r="I137" s="76">
        <f>VLOOKUP(B137,'Caso 2 (Socios)'!$A$4:$G$73,4,FALSE)</f>
        <v>14200</v>
      </c>
      <c r="J137" s="75" t="str">
        <f t="shared" si="6"/>
        <v>No</v>
      </c>
      <c r="K137" s="80" t="str">
        <f t="shared" si="7"/>
        <v>⚠️</v>
      </c>
      <c r="L137" s="56" t="str">
        <f t="shared" si="8"/>
        <v>Posible fraccionamiento</v>
      </c>
      <c r="N137" s="2" cm="1">
        <f t="array" ref="N137">SUMPRODUCT(
  (B$4:B137=B137)*
  (E$4:E137="Depósito")*
  (F$4:F137&gt;=15000)*
  (F$4:F137&lt;=49999)*
  (D$4:D137&gt;=D137-5)*
  (D$4:D137&lt;=D137)
)</f>
        <v>3</v>
      </c>
      <c r="O137" s="2" cm="1">
        <f t="array" ref="O137">IF(AND(E137="Retiro",F137&gt;=40000,G137="Sucursal"),
  SUMPRODUCT(
    (B$4:B137=B137)*
    (E$4:E137="Depósito")*
    (F$4:F137&gt;=F137*0.8)*
    (D$4:D137&gt;=D137-3)*
    (D$4:D137&lt;D137)
  ),0)</f>
        <v>0</v>
      </c>
    </row>
    <row r="138" spans="1:15" ht="18" customHeight="1" x14ac:dyDescent="0.25">
      <c r="A138" s="75">
        <v>135</v>
      </c>
      <c r="B138" s="75">
        <v>48</v>
      </c>
      <c r="C138" s="56" t="s">
        <v>57</v>
      </c>
      <c r="D138" s="56" t="s">
        <v>660</v>
      </c>
      <c r="E138" s="56" t="s">
        <v>490</v>
      </c>
      <c r="F138" s="76">
        <v>14200</v>
      </c>
      <c r="G138" s="56" t="s">
        <v>494</v>
      </c>
      <c r="H138" s="56" t="s">
        <v>497</v>
      </c>
      <c r="I138" s="76">
        <f>VLOOKUP(B138,'Caso 2 (Socios)'!$A$4:$G$73,4,FALSE)</f>
        <v>13800</v>
      </c>
      <c r="J138" s="75" t="str">
        <f t="shared" si="6"/>
        <v>No</v>
      </c>
      <c r="K138" s="80" t="str">
        <f t="shared" si="7"/>
        <v>✔️</v>
      </c>
      <c r="L138" s="56" t="str">
        <f t="shared" si="8"/>
        <v>Normal</v>
      </c>
      <c r="N138" s="2" cm="1">
        <f t="array" ref="N138">SUMPRODUCT(
  (B$4:B138=B138)*
  (E$4:E138="Depósito")*
  (F$4:F138&gt;=15000)*
  (F$4:F138&lt;=49999)*
  (D$4:D138&gt;=D138-5)*
  (D$4:D138&lt;=D138)
)</f>
        <v>0</v>
      </c>
      <c r="O138" s="2" cm="1">
        <f t="array" ref="O138">IF(AND(E138="Retiro",F138&gt;=40000,G138="Sucursal"),
  SUMPRODUCT(
    (B$4:B138=B138)*
    (E$4:E138="Depósito")*
    (F$4:F138&gt;=F138*0.8)*
    (D$4:D138&gt;=D138-3)*
    (D$4:D138&lt;D138)
  ),0)</f>
        <v>0</v>
      </c>
    </row>
    <row r="139" spans="1:15" ht="18" customHeight="1" x14ac:dyDescent="0.25">
      <c r="A139" s="59">
        <v>136</v>
      </c>
      <c r="B139" s="59">
        <v>56</v>
      </c>
      <c r="C139" s="55" t="s">
        <v>468</v>
      </c>
      <c r="D139" s="55" t="s">
        <v>661</v>
      </c>
      <c r="E139" s="55" t="s">
        <v>490</v>
      </c>
      <c r="F139" s="77">
        <v>19500</v>
      </c>
      <c r="G139" s="55" t="s">
        <v>494</v>
      </c>
      <c r="H139" s="55" t="s">
        <v>557</v>
      </c>
      <c r="I139" s="76">
        <f>VLOOKUP(B139,'Caso 2 (Socios)'!$A$4:$G$73,4,FALSE)</f>
        <v>18000</v>
      </c>
      <c r="J139" s="75" t="str">
        <f t="shared" si="6"/>
        <v>No</v>
      </c>
      <c r="K139" s="80" t="str">
        <f t="shared" si="7"/>
        <v>⚠️</v>
      </c>
      <c r="L139" s="56" t="str">
        <f t="shared" si="8"/>
        <v>Posible fraccionamiento</v>
      </c>
      <c r="N139" s="2" cm="1">
        <f t="array" ref="N139">SUMPRODUCT(
  (B$4:B139=B139)*
  (E$4:E139="Depósito")*
  (F$4:F139&gt;=15000)*
  (F$4:F139&lt;=49999)*
  (D$4:D139&gt;=D139-5)*
  (D$4:D139&lt;=D139)
)</f>
        <v>2</v>
      </c>
      <c r="O139" s="2" cm="1">
        <f t="array" ref="O139">IF(AND(E139="Retiro",F139&gt;=40000,G139="Sucursal"),
  SUMPRODUCT(
    (B$4:B139=B139)*
    (E$4:E139="Depósito")*
    (F$4:F139&gt;=F139*0.8)*
    (D$4:D139&gt;=D139-3)*
    (D$4:D139&lt;D139)
  ),0)</f>
        <v>0</v>
      </c>
    </row>
    <row r="140" spans="1:15" ht="18" customHeight="1" x14ac:dyDescent="0.25">
      <c r="A140" s="75">
        <v>137</v>
      </c>
      <c r="B140" s="75">
        <v>12</v>
      </c>
      <c r="C140" s="56" t="s">
        <v>22</v>
      </c>
      <c r="D140" s="56" t="s">
        <v>662</v>
      </c>
      <c r="E140" s="56" t="s">
        <v>490</v>
      </c>
      <c r="F140" s="76">
        <v>15800</v>
      </c>
      <c r="G140" s="56" t="s">
        <v>494</v>
      </c>
      <c r="H140" s="56" t="s">
        <v>529</v>
      </c>
      <c r="I140" s="76">
        <f>VLOOKUP(B140,'Caso 2 (Socios)'!$A$4:$G$73,4,FALSE)</f>
        <v>14500</v>
      </c>
      <c r="J140" s="75" t="str">
        <f t="shared" si="6"/>
        <v>No</v>
      </c>
      <c r="K140" s="80" t="str">
        <f t="shared" si="7"/>
        <v>✔️</v>
      </c>
      <c r="L140" s="56" t="str">
        <f t="shared" si="8"/>
        <v>Normal</v>
      </c>
      <c r="N140" s="2" cm="1">
        <f t="array" ref="N140">SUMPRODUCT(
  (B$4:B140=B140)*
  (E$4:E140="Depósito")*
  (F$4:F140&gt;=15000)*
  (F$4:F140&lt;=49999)*
  (D$4:D140&gt;=D140-5)*
  (D$4:D140&lt;=D140)
)</f>
        <v>1</v>
      </c>
      <c r="O140" s="2" cm="1">
        <f t="array" ref="O140">IF(AND(E140="Retiro",F140&gt;=40000,G140="Sucursal"),
  SUMPRODUCT(
    (B$4:B140=B140)*
    (E$4:E140="Depósito")*
    (F$4:F140&gt;=F140*0.8)*
    (D$4:D140&gt;=D140-3)*
    (D$4:D140&lt;D140)
  ),0)</f>
        <v>0</v>
      </c>
    </row>
    <row r="141" spans="1:15" ht="18" customHeight="1" x14ac:dyDescent="0.25">
      <c r="A141" s="59">
        <v>138</v>
      </c>
      <c r="B141" s="59">
        <v>19</v>
      </c>
      <c r="C141" s="55" t="s">
        <v>29</v>
      </c>
      <c r="D141" s="55" t="s">
        <v>663</v>
      </c>
      <c r="E141" s="55" t="s">
        <v>490</v>
      </c>
      <c r="F141" s="77">
        <v>21000</v>
      </c>
      <c r="G141" s="55" t="s">
        <v>494</v>
      </c>
      <c r="H141" s="55" t="s">
        <v>581</v>
      </c>
      <c r="I141" s="76">
        <f>VLOOKUP(B141,'Caso 2 (Socios)'!$A$4:$G$73,4,FALSE)</f>
        <v>19000</v>
      </c>
      <c r="J141" s="75" t="str">
        <f t="shared" si="6"/>
        <v>No</v>
      </c>
      <c r="K141" s="80" t="str">
        <f t="shared" si="7"/>
        <v>⚠️</v>
      </c>
      <c r="L141" s="56" t="str">
        <f t="shared" si="8"/>
        <v>Posible fraccionamiento</v>
      </c>
      <c r="N141" s="2" cm="1">
        <f t="array" ref="N141">SUMPRODUCT(
  (B$4:B141=B141)*
  (E$4:E141="Depósito")*
  (F$4:F141&gt;=15000)*
  (F$4:F141&lt;=49999)*
  (D$4:D141&gt;=D141-5)*
  (D$4:D141&lt;=D141)
)</f>
        <v>2</v>
      </c>
      <c r="O141" s="2" cm="1">
        <f t="array" ref="O141">IF(AND(E141="Retiro",F141&gt;=40000,G141="Sucursal"),
  SUMPRODUCT(
    (B$4:B141=B141)*
    (E$4:E141="Depósito")*
    (F$4:F141&gt;=F141*0.8)*
    (D$4:D141&gt;=D141-3)*
    (D$4:D141&lt;D141)
  ),0)</f>
        <v>0</v>
      </c>
    </row>
    <row r="142" spans="1:15" ht="18" customHeight="1" x14ac:dyDescent="0.25">
      <c r="A142" s="75">
        <v>139</v>
      </c>
      <c r="B142" s="75">
        <v>28</v>
      </c>
      <c r="C142" s="56" t="s">
        <v>38</v>
      </c>
      <c r="D142" s="56" t="s">
        <v>664</v>
      </c>
      <c r="E142" s="56" t="s">
        <v>490</v>
      </c>
      <c r="F142" s="76">
        <v>24500</v>
      </c>
      <c r="G142" s="56" t="s">
        <v>494</v>
      </c>
      <c r="H142" s="56" t="s">
        <v>544</v>
      </c>
      <c r="I142" s="76">
        <f>VLOOKUP(B142,'Caso 2 (Socios)'!$A$4:$G$73,4,FALSE)</f>
        <v>23000</v>
      </c>
      <c r="J142" s="75" t="str">
        <f t="shared" si="6"/>
        <v>No</v>
      </c>
      <c r="K142" s="80" t="str">
        <f t="shared" si="7"/>
        <v>✔️</v>
      </c>
      <c r="L142" s="56" t="str">
        <f t="shared" si="8"/>
        <v>Normal</v>
      </c>
      <c r="N142" s="2" cm="1">
        <f t="array" ref="N142">SUMPRODUCT(
  (B$4:B142=B142)*
  (E$4:E142="Depósito")*
  (F$4:F142&gt;=15000)*
  (F$4:F142&lt;=49999)*
  (D$4:D142&gt;=D142-5)*
  (D$4:D142&lt;=D142)
)</f>
        <v>1</v>
      </c>
      <c r="O142" s="2" cm="1">
        <f t="array" ref="O142">IF(AND(E142="Retiro",F142&gt;=40000,G142="Sucursal"),
  SUMPRODUCT(
    (B$4:B142=B142)*
    (E$4:E142="Depósito")*
    (F$4:F142&gt;=F142*0.8)*
    (D$4:D142&gt;=D142-3)*
    (D$4:D142&lt;D142)
  ),0)</f>
        <v>0</v>
      </c>
    </row>
    <row r="143" spans="1:15" ht="18" customHeight="1" x14ac:dyDescent="0.25">
      <c r="A143" s="59">
        <v>140</v>
      </c>
      <c r="B143" s="59">
        <v>33</v>
      </c>
      <c r="C143" s="55" t="s">
        <v>42</v>
      </c>
      <c r="D143" s="55" t="s">
        <v>665</v>
      </c>
      <c r="E143" s="55" t="s">
        <v>490</v>
      </c>
      <c r="F143" s="77">
        <v>55000</v>
      </c>
      <c r="G143" s="55" t="s">
        <v>494</v>
      </c>
      <c r="H143" s="55" t="s">
        <v>566</v>
      </c>
      <c r="I143" s="76">
        <f>VLOOKUP(B143,'Caso 2 (Socios)'!$A$4:$G$73,4,FALSE)</f>
        <v>8700</v>
      </c>
      <c r="J143" s="75" t="str">
        <f t="shared" si="6"/>
        <v>Sí</v>
      </c>
      <c r="K143" s="80" t="str">
        <f t="shared" si="7"/>
        <v>⚠️</v>
      </c>
      <c r="L143" s="56" t="str">
        <f t="shared" si="8"/>
        <v>Monto alto + Inconsistencia</v>
      </c>
      <c r="N143" s="2" cm="1">
        <f t="array" ref="N143">SUMPRODUCT(
  (B$4:B143=B143)*
  (E$4:E143="Depósito")*
  (F$4:F143&gt;=15000)*
  (F$4:F143&lt;=49999)*
  (D$4:D143&gt;=D143-5)*
  (D$4:D143&lt;=D143)
)</f>
        <v>0</v>
      </c>
      <c r="O143" s="2" cm="1">
        <f t="array" ref="O143">IF(AND(E143="Retiro",F143&gt;=40000,G143="Sucursal"),
  SUMPRODUCT(
    (B$4:B143=B143)*
    (E$4:E143="Depósito")*
    (F$4:F143&gt;=F143*0.8)*
    (D$4:D143&gt;=D143-3)*
    (D$4:D143&lt;D143)
  ),0)</f>
        <v>0</v>
      </c>
    </row>
    <row r="144" spans="1:15" ht="18" customHeight="1" x14ac:dyDescent="0.25">
      <c r="A144" s="75">
        <v>141</v>
      </c>
      <c r="B144" s="75">
        <v>39</v>
      </c>
      <c r="C144" s="56" t="s">
        <v>48</v>
      </c>
      <c r="D144" s="56" t="s">
        <v>666</v>
      </c>
      <c r="E144" s="56" t="s">
        <v>548</v>
      </c>
      <c r="F144" s="76">
        <v>59000</v>
      </c>
      <c r="G144" s="56" t="s">
        <v>494</v>
      </c>
      <c r="H144" s="56" t="s">
        <v>593</v>
      </c>
      <c r="I144" s="76">
        <f>VLOOKUP(B144,'Caso 2 (Socios)'!$A$4:$G$73,4,FALSE)</f>
        <v>13500</v>
      </c>
      <c r="J144" s="75" t="str">
        <f t="shared" si="6"/>
        <v>Sí</v>
      </c>
      <c r="K144" s="80" t="str">
        <f t="shared" si="7"/>
        <v>⚠️</v>
      </c>
      <c r="L144" s="56" t="str">
        <f t="shared" si="8"/>
        <v>Monto alto + Inconsistencia</v>
      </c>
      <c r="N144" s="2" cm="1">
        <f t="array" ref="N144">SUMPRODUCT(
  (B$4:B144=B144)*
  (E$4:E144="Depósito")*
  (F$4:F144&gt;=15000)*
  (F$4:F144&lt;=49999)*
  (D$4:D144&gt;=D144-5)*
  (D$4:D144&lt;=D144)
)</f>
        <v>0</v>
      </c>
      <c r="O144" s="2" cm="1">
        <f t="array" ref="O144">IF(AND(E144="Retiro",F144&gt;=40000,G144="Sucursal"),
  SUMPRODUCT(
    (B$4:B144=B144)*
    (E$4:E144="Depósito")*
    (F$4:F144&gt;=F144*0.8)*
    (D$4:D144&gt;=D144-3)*
    (D$4:D144&lt;D144)
  ),0)</f>
        <v>0</v>
      </c>
    </row>
    <row r="145" spans="1:15" ht="18" customHeight="1" x14ac:dyDescent="0.25">
      <c r="A145" s="59">
        <v>142</v>
      </c>
      <c r="B145" s="59">
        <v>51</v>
      </c>
      <c r="C145" s="55" t="s">
        <v>60</v>
      </c>
      <c r="D145" s="55" t="s">
        <v>667</v>
      </c>
      <c r="E145" s="55" t="s">
        <v>490</v>
      </c>
      <c r="F145" s="77">
        <v>12300</v>
      </c>
      <c r="G145" s="55" t="s">
        <v>491</v>
      </c>
      <c r="H145" s="55" t="s">
        <v>635</v>
      </c>
      <c r="I145" s="76">
        <f>VLOOKUP(B145,'Caso 2 (Socios)'!$A$4:$G$73,4,FALSE)</f>
        <v>10900</v>
      </c>
      <c r="J145" s="75" t="str">
        <f t="shared" si="6"/>
        <v>No</v>
      </c>
      <c r="K145" s="80" t="str">
        <f t="shared" si="7"/>
        <v>✔️</v>
      </c>
      <c r="L145" s="56" t="str">
        <f t="shared" si="8"/>
        <v>Normal</v>
      </c>
      <c r="N145" s="2" cm="1">
        <f t="array" ref="N145">SUMPRODUCT(
  (B$4:B145=B145)*
  (E$4:E145="Depósito")*
  (F$4:F145&gt;=15000)*
  (F$4:F145&lt;=49999)*
  (D$4:D145&gt;=D145-5)*
  (D$4:D145&lt;=D145)
)</f>
        <v>2</v>
      </c>
      <c r="O145" s="2" cm="1">
        <f t="array" ref="O145">IF(AND(E145="Retiro",F145&gt;=40000,G145="Sucursal"),
  SUMPRODUCT(
    (B$4:B145=B145)*
    (E$4:E145="Depósito")*
    (F$4:F145&gt;=F145*0.8)*
    (D$4:D145&gt;=D145-3)*
    (D$4:D145&lt;D145)
  ),0)</f>
        <v>0</v>
      </c>
    </row>
    <row r="146" spans="1:15" ht="18" customHeight="1" x14ac:dyDescent="0.25">
      <c r="A146" s="75">
        <v>143</v>
      </c>
      <c r="B146" s="75">
        <v>54</v>
      </c>
      <c r="C146" s="56" t="s">
        <v>63</v>
      </c>
      <c r="D146" s="56" t="s">
        <v>668</v>
      </c>
      <c r="E146" s="56" t="s">
        <v>490</v>
      </c>
      <c r="F146" s="76">
        <v>17200</v>
      </c>
      <c r="G146" s="56" t="s">
        <v>494</v>
      </c>
      <c r="H146" s="56" t="s">
        <v>529</v>
      </c>
      <c r="I146" s="76">
        <f>VLOOKUP(B146,'Caso 2 (Socios)'!$A$4:$G$73,4,FALSE)</f>
        <v>15500</v>
      </c>
      <c r="J146" s="75" t="str">
        <f t="shared" si="6"/>
        <v>No</v>
      </c>
      <c r="K146" s="80" t="str">
        <f t="shared" si="7"/>
        <v>⚠️</v>
      </c>
      <c r="L146" s="56" t="str">
        <f t="shared" si="8"/>
        <v>Posible fraccionamiento</v>
      </c>
      <c r="N146" s="2" cm="1">
        <f t="array" ref="N146">SUMPRODUCT(
  (B$4:B146=B146)*
  (E$4:E146="Depósito")*
  (F$4:F146&gt;=15000)*
  (F$4:F146&lt;=49999)*
  (D$4:D146&gt;=D146-5)*
  (D$4:D146&lt;=D146)
)</f>
        <v>2</v>
      </c>
      <c r="O146" s="2" cm="1">
        <f t="array" ref="O146">IF(AND(E146="Retiro",F146&gt;=40000,G146="Sucursal"),
  SUMPRODUCT(
    (B$4:B146=B146)*
    (E$4:E146="Depósito")*
    (F$4:F146&gt;=F146*0.8)*
    (D$4:D146&gt;=D146-3)*
    (D$4:D146&lt;D146)
  ),0)</f>
        <v>0</v>
      </c>
    </row>
    <row r="147" spans="1:15" ht="18" customHeight="1" x14ac:dyDescent="0.25">
      <c r="A147" s="59">
        <v>144</v>
      </c>
      <c r="B147" s="59">
        <v>60</v>
      </c>
      <c r="C147" s="55" t="s">
        <v>472</v>
      </c>
      <c r="D147" s="55" t="s">
        <v>669</v>
      </c>
      <c r="E147" s="55" t="s">
        <v>490</v>
      </c>
      <c r="F147" s="77">
        <v>24000</v>
      </c>
      <c r="G147" s="55" t="s">
        <v>494</v>
      </c>
      <c r="H147" s="55" t="s">
        <v>544</v>
      </c>
      <c r="I147" s="76">
        <f>VLOOKUP(B147,'Caso 2 (Socios)'!$A$4:$G$73,4,FALSE)</f>
        <v>22000</v>
      </c>
      <c r="J147" s="75" t="str">
        <f t="shared" si="6"/>
        <v>No</v>
      </c>
      <c r="K147" s="80" t="str">
        <f t="shared" si="7"/>
        <v>✔️</v>
      </c>
      <c r="L147" s="56" t="str">
        <f t="shared" si="8"/>
        <v>Normal</v>
      </c>
      <c r="N147" s="2" cm="1">
        <f t="array" ref="N147">SUMPRODUCT(
  (B$4:B147=B147)*
  (E$4:E147="Depósito")*
  (F$4:F147&gt;=15000)*
  (F$4:F147&lt;=49999)*
  (D$4:D147&gt;=D147-5)*
  (D$4:D147&lt;=D147)
)</f>
        <v>1</v>
      </c>
      <c r="O147" s="2" cm="1">
        <f t="array" ref="O147">IF(AND(E147="Retiro",F147&gt;=40000,G147="Sucursal"),
  SUMPRODUCT(
    (B$4:B147=B147)*
    (E$4:E147="Depósito")*
    (F$4:F147&gt;=F147*0.8)*
    (D$4:D147&gt;=D147-3)*
    (D$4:D147&lt;D147)
  ),0)</f>
        <v>0</v>
      </c>
    </row>
    <row r="148" spans="1:15" ht="18" customHeight="1" x14ac:dyDescent="0.25">
      <c r="A148" s="75">
        <v>145</v>
      </c>
      <c r="B148" s="75">
        <v>15</v>
      </c>
      <c r="C148" s="56" t="s">
        <v>25</v>
      </c>
      <c r="D148" s="56" t="s">
        <v>670</v>
      </c>
      <c r="E148" s="56" t="s">
        <v>490</v>
      </c>
      <c r="F148" s="76">
        <v>19800</v>
      </c>
      <c r="G148" s="56" t="s">
        <v>494</v>
      </c>
      <c r="H148" s="56" t="s">
        <v>517</v>
      </c>
      <c r="I148" s="76">
        <f>VLOOKUP(B148,'Caso 2 (Socios)'!$A$4:$G$73,4,FALSE)</f>
        <v>18000</v>
      </c>
      <c r="J148" s="75" t="str">
        <f t="shared" si="6"/>
        <v>No</v>
      </c>
      <c r="K148" s="80" t="str">
        <f t="shared" si="7"/>
        <v>✔️</v>
      </c>
      <c r="L148" s="56" t="str">
        <f t="shared" si="8"/>
        <v>Normal</v>
      </c>
      <c r="N148" s="2" cm="1">
        <f t="array" ref="N148">SUMPRODUCT(
  (B$4:B148=B148)*
  (E$4:E148="Depósito")*
  (F$4:F148&gt;=15000)*
  (F$4:F148&lt;=49999)*
  (D$4:D148&gt;=D148-5)*
  (D$4:D148&lt;=D148)
)</f>
        <v>1</v>
      </c>
      <c r="O148" s="2" cm="1">
        <f t="array" ref="O148">IF(AND(E148="Retiro",F148&gt;=40000,G148="Sucursal"),
  SUMPRODUCT(
    (B$4:B148=B148)*
    (E$4:E148="Depósito")*
    (F$4:F148&gt;=F148*0.8)*
    (D$4:D148&gt;=D148-3)*
    (D$4:D148&lt;D148)
  ),0)</f>
        <v>0</v>
      </c>
    </row>
    <row r="149" spans="1:15" ht="18" customHeight="1" x14ac:dyDescent="0.25">
      <c r="A149" s="59">
        <v>146</v>
      </c>
      <c r="B149" s="59">
        <v>21</v>
      </c>
      <c r="C149" s="55" t="s">
        <v>31</v>
      </c>
      <c r="D149" s="55" t="s">
        <v>671</v>
      </c>
      <c r="E149" s="55" t="s">
        <v>490</v>
      </c>
      <c r="F149" s="77">
        <v>61000</v>
      </c>
      <c r="G149" s="55" t="s">
        <v>494</v>
      </c>
      <c r="H149" s="55" t="s">
        <v>541</v>
      </c>
      <c r="I149" s="76">
        <f>VLOOKUP(B149,'Caso 2 (Socios)'!$A$4:$G$73,4,FALSE)</f>
        <v>10500</v>
      </c>
      <c r="J149" s="75" t="str">
        <f t="shared" si="6"/>
        <v>Sí</v>
      </c>
      <c r="K149" s="80" t="str">
        <f t="shared" si="7"/>
        <v>⚠️</v>
      </c>
      <c r="L149" s="56" t="str">
        <f t="shared" si="8"/>
        <v>Monto alto + Inconsistencia</v>
      </c>
      <c r="N149" s="2" cm="1">
        <f t="array" ref="N149">SUMPRODUCT(
  (B$4:B149=B149)*
  (E$4:E149="Depósito")*
  (F$4:F149&gt;=15000)*
  (F$4:F149&lt;=49999)*
  (D$4:D149&gt;=D149-5)*
  (D$4:D149&lt;=D149)
)</f>
        <v>0</v>
      </c>
      <c r="O149" s="2" cm="1">
        <f t="array" ref="O149">IF(AND(E149="Retiro",F149&gt;=40000,G149="Sucursal"),
  SUMPRODUCT(
    (B$4:B149=B149)*
    (E$4:E149="Depósito")*
    (F$4:F149&gt;=F149*0.8)*
    (D$4:D149&gt;=D149-3)*
    (D$4:D149&lt;D149)
  ),0)</f>
        <v>0</v>
      </c>
    </row>
    <row r="150" spans="1:15" ht="18" customHeight="1" x14ac:dyDescent="0.25">
      <c r="A150" s="75">
        <v>147</v>
      </c>
      <c r="B150" s="75">
        <v>29</v>
      </c>
      <c r="C150" s="56" t="s">
        <v>39</v>
      </c>
      <c r="D150" s="56" t="s">
        <v>672</v>
      </c>
      <c r="E150" s="56" t="s">
        <v>490</v>
      </c>
      <c r="F150" s="76">
        <v>18500</v>
      </c>
      <c r="G150" s="56" t="s">
        <v>494</v>
      </c>
      <c r="H150" s="56" t="s">
        <v>517</v>
      </c>
      <c r="I150" s="76">
        <f>VLOOKUP(B150,'Caso 2 (Socios)'!$A$4:$G$73,4,FALSE)</f>
        <v>17500</v>
      </c>
      <c r="J150" s="75" t="str">
        <f t="shared" si="6"/>
        <v>No</v>
      </c>
      <c r="K150" s="80" t="str">
        <f t="shared" si="7"/>
        <v>✔️</v>
      </c>
      <c r="L150" s="56" t="str">
        <f t="shared" si="8"/>
        <v>Normal</v>
      </c>
      <c r="N150" s="2" cm="1">
        <f t="array" ref="N150">SUMPRODUCT(
  (B$4:B150=B150)*
  (E$4:E150="Depósito")*
  (F$4:F150&gt;=15000)*
  (F$4:F150&lt;=49999)*
  (D$4:D150&gt;=D150-5)*
  (D$4:D150&lt;=D150)
)</f>
        <v>1</v>
      </c>
      <c r="O150" s="2" cm="1">
        <f t="array" ref="O150">IF(AND(E150="Retiro",F150&gt;=40000,G150="Sucursal"),
  SUMPRODUCT(
    (B$4:B150=B150)*
    (E$4:E150="Depósito")*
    (F$4:F150&gt;=F150*0.8)*
    (D$4:D150&gt;=D150-3)*
    (D$4:D150&lt;D150)
  ),0)</f>
        <v>0</v>
      </c>
    </row>
    <row r="151" spans="1:15" ht="18" customHeight="1" x14ac:dyDescent="0.25">
      <c r="A151" s="59">
        <v>148</v>
      </c>
      <c r="B151" s="59">
        <v>35</v>
      </c>
      <c r="C151" s="55" t="s">
        <v>44</v>
      </c>
      <c r="D151" s="55" t="s">
        <v>673</v>
      </c>
      <c r="E151" s="55" t="s">
        <v>490</v>
      </c>
      <c r="F151" s="77">
        <v>105000</v>
      </c>
      <c r="G151" s="55" t="s">
        <v>494</v>
      </c>
      <c r="H151" s="55" t="s">
        <v>574</v>
      </c>
      <c r="I151" s="76">
        <f>VLOOKUP(B151,'Caso 2 (Socios)'!$A$4:$G$73,4,FALSE)</f>
        <v>30000</v>
      </c>
      <c r="J151" s="75" t="str">
        <f t="shared" si="6"/>
        <v>Sí</v>
      </c>
      <c r="K151" s="80" t="str">
        <f t="shared" si="7"/>
        <v>⚠️</v>
      </c>
      <c r="L151" s="56" t="str">
        <f t="shared" si="8"/>
        <v>Monto alto + Inconsistencia</v>
      </c>
      <c r="N151" s="2" cm="1">
        <f t="array" ref="N151">SUMPRODUCT(
  (B$4:B151=B151)*
  (E$4:E151="Depósito")*
  (F$4:F151&gt;=15000)*
  (F$4:F151&lt;=49999)*
  (D$4:D151&gt;=D151-5)*
  (D$4:D151&lt;=D151)
)</f>
        <v>0</v>
      </c>
      <c r="O151" s="2" cm="1">
        <f t="array" ref="O151">IF(AND(E151="Retiro",F151&gt;=40000,G151="Sucursal"),
  SUMPRODUCT(
    (B$4:B151=B151)*
    (E$4:E151="Depósito")*
    (F$4:F151&gt;=F151*0.8)*
    (D$4:D151&gt;=D151-3)*
    (D$4:D151&lt;D151)
  ),0)</f>
        <v>0</v>
      </c>
    </row>
    <row r="152" spans="1:15" ht="18" customHeight="1" x14ac:dyDescent="0.25">
      <c r="A152" s="75">
        <v>149</v>
      </c>
      <c r="B152" s="75">
        <v>41</v>
      </c>
      <c r="C152" s="56" t="s">
        <v>50</v>
      </c>
      <c r="D152" s="56" t="s">
        <v>674</v>
      </c>
      <c r="E152" s="56" t="s">
        <v>490</v>
      </c>
      <c r="F152" s="76">
        <v>17500</v>
      </c>
      <c r="G152" s="56" t="s">
        <v>494</v>
      </c>
      <c r="H152" s="56" t="s">
        <v>517</v>
      </c>
      <c r="I152" s="76">
        <f>VLOOKUP(B152,'Caso 2 (Socios)'!$A$4:$G$73,4,FALSE)</f>
        <v>16800</v>
      </c>
      <c r="J152" s="75" t="str">
        <f t="shared" si="6"/>
        <v>No</v>
      </c>
      <c r="K152" s="80" t="str">
        <f t="shared" si="7"/>
        <v>⚠️</v>
      </c>
      <c r="L152" s="56" t="str">
        <f t="shared" si="8"/>
        <v>Posible fraccionamiento</v>
      </c>
      <c r="N152" s="2" cm="1">
        <f t="array" ref="N152">SUMPRODUCT(
  (B$4:B152=B152)*
  (E$4:E152="Depósito")*
  (F$4:F152&gt;=15000)*
  (F$4:F152&lt;=49999)*
  (D$4:D152&gt;=D152-5)*
  (D$4:D152&lt;=D152)
)</f>
        <v>3</v>
      </c>
      <c r="O152" s="2" cm="1">
        <f t="array" ref="O152">IF(AND(E152="Retiro",F152&gt;=40000,G152="Sucursal"),
  SUMPRODUCT(
    (B$4:B152=B152)*
    (E$4:E152="Depósito")*
    (F$4:F152&gt;=F152*0.8)*
    (D$4:D152&gt;=D152-3)*
    (D$4:D152&lt;D152)
  ),0)</f>
        <v>0</v>
      </c>
    </row>
    <row r="153" spans="1:15" ht="18" customHeight="1" x14ac:dyDescent="0.25">
      <c r="A153" s="59">
        <v>150</v>
      </c>
      <c r="B153" s="59">
        <v>45</v>
      </c>
      <c r="C153" s="55" t="s">
        <v>54</v>
      </c>
      <c r="D153" s="55" t="s">
        <v>675</v>
      </c>
      <c r="E153" s="55" t="s">
        <v>490</v>
      </c>
      <c r="F153" s="77">
        <v>24800</v>
      </c>
      <c r="G153" s="55" t="s">
        <v>491</v>
      </c>
      <c r="H153" s="55" t="s">
        <v>544</v>
      </c>
      <c r="I153" s="76">
        <f>VLOOKUP(B153,'Caso 2 (Socios)'!$A$4:$G$73,4,FALSE)</f>
        <v>24000</v>
      </c>
      <c r="J153" s="75" t="str">
        <f t="shared" si="6"/>
        <v>No</v>
      </c>
      <c r="K153" s="80" t="str">
        <f t="shared" si="7"/>
        <v>⚠️</v>
      </c>
      <c r="L153" s="56" t="str">
        <f t="shared" si="8"/>
        <v>Posible fraccionamiento</v>
      </c>
      <c r="N153" s="2" cm="1">
        <f t="array" ref="N153">SUMPRODUCT(
  (B$4:B153=B153)*
  (E$4:E153="Depósito")*
  (F$4:F153&gt;=15000)*
  (F$4:F153&lt;=49999)*
  (D$4:D153&gt;=D153-5)*
  (D$4:D153&lt;=D153)
)</f>
        <v>4</v>
      </c>
      <c r="O153" s="2" cm="1">
        <f t="array" ref="O153">IF(AND(E153="Retiro",F153&gt;=40000,G153="Sucursal"),
  SUMPRODUCT(
    (B$4:B153=B153)*
    (E$4:E153="Depósito")*
    (F$4:F153&gt;=F153*0.8)*
    (D$4:D153&gt;=D153-3)*
    (D$4:D153&lt;D153)
  ),0)</f>
        <v>0</v>
      </c>
    </row>
    <row r="154" spans="1:15" ht="18" customHeight="1" x14ac:dyDescent="0.25">
      <c r="A154" s="75">
        <v>151</v>
      </c>
      <c r="B154" s="75">
        <v>49</v>
      </c>
      <c r="C154" s="56" t="s">
        <v>58</v>
      </c>
      <c r="D154" s="56" t="s">
        <v>607</v>
      </c>
      <c r="E154" s="56" t="s">
        <v>490</v>
      </c>
      <c r="F154" s="76">
        <v>30000</v>
      </c>
      <c r="G154" s="56" t="s">
        <v>494</v>
      </c>
      <c r="H154" s="56" t="s">
        <v>570</v>
      </c>
      <c r="I154" s="76">
        <f>VLOOKUP(B154,'Caso 2 (Socios)'!$A$4:$G$73,4,FALSE)</f>
        <v>27000</v>
      </c>
      <c r="J154" s="75" t="str">
        <f t="shared" si="6"/>
        <v>No</v>
      </c>
      <c r="K154" s="80" t="str">
        <f t="shared" si="7"/>
        <v>⚠️</v>
      </c>
      <c r="L154" s="56" t="str">
        <f t="shared" si="8"/>
        <v>Posible fraccionamiento</v>
      </c>
      <c r="N154" s="2" cm="1">
        <f t="array" ref="N154">SUMPRODUCT(
  (B$4:B154=B154)*
  (E$4:E154="Depósito")*
  (F$4:F154&gt;=15000)*
  (F$4:F154&lt;=49999)*
  (D$4:D154&gt;=D154-5)*
  (D$4:D154&lt;=D154)
)</f>
        <v>2</v>
      </c>
      <c r="O154" s="2" cm="1">
        <f t="array" ref="O154">IF(AND(E154="Retiro",F154&gt;=40000,G154="Sucursal"),
  SUMPRODUCT(
    (B$4:B154=B154)*
    (E$4:E154="Depósito")*
    (F$4:F154&gt;=F154*0.8)*
    (D$4:D154&gt;=D154-3)*
    (D$4:D154&lt;D154)
  ),0)</f>
        <v>0</v>
      </c>
    </row>
    <row r="155" spans="1:15" ht="18" customHeight="1" x14ac:dyDescent="0.25">
      <c r="A155" s="59">
        <v>152</v>
      </c>
      <c r="B155" s="59">
        <v>53</v>
      </c>
      <c r="C155" s="55" t="s">
        <v>62</v>
      </c>
      <c r="D155" s="55" t="s">
        <v>622</v>
      </c>
      <c r="E155" s="55" t="s">
        <v>490</v>
      </c>
      <c r="F155" s="77">
        <v>20800</v>
      </c>
      <c r="G155" s="55" t="s">
        <v>494</v>
      </c>
      <c r="H155" s="55" t="s">
        <v>517</v>
      </c>
      <c r="I155" s="76">
        <f>VLOOKUP(B155,'Caso 2 (Socios)'!$A$4:$G$73,4,FALSE)</f>
        <v>19500</v>
      </c>
      <c r="J155" s="75" t="str">
        <f t="shared" si="6"/>
        <v>No</v>
      </c>
      <c r="K155" s="80" t="str">
        <f t="shared" si="7"/>
        <v>⚠️</v>
      </c>
      <c r="L155" s="56" t="str">
        <f t="shared" si="8"/>
        <v>Posible fraccionamiento</v>
      </c>
      <c r="N155" s="2" cm="1">
        <f t="array" ref="N155">SUMPRODUCT(
  (B$4:B155=B155)*
  (E$4:E155="Depósito")*
  (F$4:F155&gt;=15000)*
  (F$4:F155&lt;=49999)*
  (D$4:D155&gt;=D155-5)*
  (D$4:D155&lt;=D155)
)</f>
        <v>2</v>
      </c>
      <c r="O155" s="2" cm="1">
        <f t="array" ref="O155">IF(AND(E155="Retiro",F155&gt;=40000,G155="Sucursal"),
  SUMPRODUCT(
    (B$4:B155=B155)*
    (E$4:E155="Depósito")*
    (F$4:F155&gt;=F155*0.8)*
    (D$4:D155&gt;=D155-3)*
    (D$4:D155&lt;D155)
  ),0)</f>
        <v>0</v>
      </c>
    </row>
    <row r="156" spans="1:15" ht="18" customHeight="1" x14ac:dyDescent="0.25">
      <c r="A156" s="75">
        <v>153</v>
      </c>
      <c r="B156" s="75">
        <v>57</v>
      </c>
      <c r="C156" s="56" t="s">
        <v>469</v>
      </c>
      <c r="D156" s="56" t="s">
        <v>636</v>
      </c>
      <c r="E156" s="56" t="s">
        <v>490</v>
      </c>
      <c r="F156" s="76">
        <v>5300</v>
      </c>
      <c r="G156" s="56" t="s">
        <v>491</v>
      </c>
      <c r="H156" s="56" t="s">
        <v>513</v>
      </c>
      <c r="I156" s="76">
        <f>VLOOKUP(B156,'Caso 2 (Socios)'!$A$4:$G$73,4,FALSE)</f>
        <v>4500</v>
      </c>
      <c r="J156" s="75" t="str">
        <f t="shared" si="6"/>
        <v>No</v>
      </c>
      <c r="K156" s="80" t="str">
        <f t="shared" si="7"/>
        <v>✔️</v>
      </c>
      <c r="L156" s="56" t="str">
        <f t="shared" si="8"/>
        <v>Normal</v>
      </c>
      <c r="N156" s="2" cm="1">
        <f t="array" ref="N156">SUMPRODUCT(
  (B$4:B156=B156)*
  (E$4:E156="Depósito")*
  (F$4:F156&gt;=15000)*
  (F$4:F156&lt;=49999)*
  (D$4:D156&gt;=D156-5)*
  (D$4:D156&lt;=D156)
)</f>
        <v>0</v>
      </c>
      <c r="O156" s="2" cm="1">
        <f t="array" ref="O156">IF(AND(E156="Retiro",F156&gt;=40000,G156="Sucursal"),
  SUMPRODUCT(
    (B$4:B156=B156)*
    (E$4:E156="Depósito")*
    (F$4:F156&gt;=F156*0.8)*
    (D$4:D156&gt;=D156-3)*
    (D$4:D156&lt;D156)
  ),0)</f>
        <v>0</v>
      </c>
    </row>
    <row r="157" spans="1:15" ht="18" customHeight="1" x14ac:dyDescent="0.25">
      <c r="A157" s="59">
        <v>154</v>
      </c>
      <c r="B157" s="59">
        <v>16</v>
      </c>
      <c r="C157" s="55" t="s">
        <v>26</v>
      </c>
      <c r="D157" s="55" t="s">
        <v>676</v>
      </c>
      <c r="E157" s="55" t="s">
        <v>490</v>
      </c>
      <c r="F157" s="77">
        <v>12900</v>
      </c>
      <c r="G157" s="55" t="s">
        <v>494</v>
      </c>
      <c r="H157" s="55" t="s">
        <v>497</v>
      </c>
      <c r="I157" s="76">
        <f>VLOOKUP(B157,'Caso 2 (Socios)'!$A$4:$G$73,4,FALSE)</f>
        <v>12500</v>
      </c>
      <c r="J157" s="75" t="str">
        <f t="shared" si="6"/>
        <v>No</v>
      </c>
      <c r="K157" s="80" t="str">
        <f t="shared" si="7"/>
        <v>✔️</v>
      </c>
      <c r="L157" s="56" t="str">
        <f t="shared" si="8"/>
        <v>Normal</v>
      </c>
      <c r="N157" s="2" cm="1">
        <f t="array" ref="N157">SUMPRODUCT(
  (B$4:B157=B157)*
  (E$4:E157="Depósito")*
  (F$4:F157&gt;=15000)*
  (F$4:F157&lt;=49999)*
  (D$4:D157&gt;=D157-5)*
  (D$4:D157&lt;=D157)
)</f>
        <v>0</v>
      </c>
      <c r="O157" s="2" cm="1">
        <f t="array" ref="O157">IF(AND(E157="Retiro",F157&gt;=40000,G157="Sucursal"),
  SUMPRODUCT(
    (B$4:B157=B157)*
    (E$4:E157="Depósito")*
    (F$4:F157&gt;=F157*0.8)*
    (D$4:D157&gt;=D157-3)*
    (D$4:D157&lt;D157)
  ),0)</f>
        <v>0</v>
      </c>
    </row>
    <row r="158" spans="1:15" ht="18" customHeight="1" x14ac:dyDescent="0.25">
      <c r="A158" s="75">
        <v>155</v>
      </c>
      <c r="B158" s="75">
        <v>32</v>
      </c>
      <c r="C158" s="56" t="s">
        <v>11</v>
      </c>
      <c r="D158" s="56" t="s">
        <v>677</v>
      </c>
      <c r="E158" s="56" t="s">
        <v>490</v>
      </c>
      <c r="F158" s="76">
        <v>13400</v>
      </c>
      <c r="G158" s="56" t="s">
        <v>494</v>
      </c>
      <c r="H158" s="56" t="s">
        <v>546</v>
      </c>
      <c r="I158" s="76">
        <f>VLOOKUP(B158,'Caso 2 (Socios)'!$A$4:$G$73,4,FALSE)</f>
        <v>12800</v>
      </c>
      <c r="J158" s="75" t="str">
        <f t="shared" si="6"/>
        <v>No</v>
      </c>
      <c r="K158" s="80" t="str">
        <f t="shared" si="7"/>
        <v>✔️</v>
      </c>
      <c r="L158" s="56" t="str">
        <f t="shared" si="8"/>
        <v>Normal</v>
      </c>
      <c r="N158" s="2" cm="1">
        <f t="array" ref="N158">SUMPRODUCT(
  (B$4:B158=B158)*
  (E$4:E158="Depósito")*
  (F$4:F158&gt;=15000)*
  (F$4:F158&lt;=49999)*
  (D$4:D158&gt;=D158-5)*
  (D$4:D158&lt;=D158)
)</f>
        <v>0</v>
      </c>
      <c r="O158" s="2" cm="1">
        <f t="array" ref="O158">IF(AND(E158="Retiro",F158&gt;=40000,G158="Sucursal"),
  SUMPRODUCT(
    (B$4:B158=B158)*
    (E$4:E158="Depósito")*
    (F$4:F158&gt;=F158*0.8)*
    (D$4:D158&gt;=D158-3)*
    (D$4:D158&lt;D158)
  ),0)</f>
        <v>0</v>
      </c>
    </row>
    <row r="159" spans="1:15" ht="18" customHeight="1" x14ac:dyDescent="0.25">
      <c r="A159" s="59">
        <v>156</v>
      </c>
      <c r="B159" s="59">
        <v>43</v>
      </c>
      <c r="C159" s="55" t="s">
        <v>52</v>
      </c>
      <c r="D159" s="55" t="s">
        <v>678</v>
      </c>
      <c r="E159" s="55" t="s">
        <v>490</v>
      </c>
      <c r="F159" s="77">
        <v>9500</v>
      </c>
      <c r="G159" s="55" t="s">
        <v>494</v>
      </c>
      <c r="H159" s="55" t="s">
        <v>561</v>
      </c>
      <c r="I159" s="76">
        <f>VLOOKUP(B159,'Caso 2 (Socios)'!$A$4:$G$73,4,FALSE)</f>
        <v>8400</v>
      </c>
      <c r="J159" s="75" t="str">
        <f t="shared" si="6"/>
        <v>No</v>
      </c>
      <c r="K159" s="80" t="str">
        <f t="shared" si="7"/>
        <v>✔️</v>
      </c>
      <c r="L159" s="56" t="str">
        <f t="shared" si="8"/>
        <v>Normal</v>
      </c>
      <c r="N159" s="2" cm="1">
        <f t="array" ref="N159">SUMPRODUCT(
  (B$4:B159=B159)*
  (E$4:E159="Depósito")*
  (F$4:F159&gt;=15000)*
  (F$4:F159&lt;=49999)*
  (D$4:D159&gt;=D159-5)*
  (D$4:D159&lt;=D159)
)</f>
        <v>0</v>
      </c>
      <c r="O159" s="2" cm="1">
        <f t="array" ref="O159">IF(AND(E159="Retiro",F159&gt;=40000,G159="Sucursal"),
  SUMPRODUCT(
    (B$4:B159=B159)*
    (E$4:E159="Depósito")*
    (F$4:F159&gt;=F159*0.8)*
    (D$4:D159&gt;=D159-3)*
    (D$4:D159&lt;D159)
  ),0)</f>
        <v>0</v>
      </c>
    </row>
    <row r="160" spans="1:15" ht="18" customHeight="1" x14ac:dyDescent="0.25">
      <c r="A160" s="75">
        <v>157</v>
      </c>
      <c r="B160" s="75">
        <v>47</v>
      </c>
      <c r="C160" s="56" t="s">
        <v>56</v>
      </c>
      <c r="D160" s="56" t="s">
        <v>610</v>
      </c>
      <c r="E160" s="56" t="s">
        <v>490</v>
      </c>
      <c r="F160" s="76">
        <v>10200</v>
      </c>
      <c r="G160" s="56" t="s">
        <v>491</v>
      </c>
      <c r="H160" s="56" t="s">
        <v>553</v>
      </c>
      <c r="I160" s="76">
        <f>VLOOKUP(B160,'Caso 2 (Socios)'!$A$4:$G$73,4,FALSE)</f>
        <v>9000</v>
      </c>
      <c r="J160" s="75" t="str">
        <f t="shared" si="6"/>
        <v>No</v>
      </c>
      <c r="K160" s="80" t="str">
        <f t="shared" si="7"/>
        <v>✔️</v>
      </c>
      <c r="L160" s="56" t="str">
        <f t="shared" si="8"/>
        <v>Normal</v>
      </c>
      <c r="N160" s="2" cm="1">
        <f t="array" ref="N160">SUMPRODUCT(
  (B$4:B160=B160)*
  (E$4:E160="Depósito")*
  (F$4:F160&gt;=15000)*
  (F$4:F160&lt;=49999)*
  (D$4:D160&gt;=D160-5)*
  (D$4:D160&lt;=D160)
)</f>
        <v>0</v>
      </c>
      <c r="O160" s="2" cm="1">
        <f t="array" ref="O160">IF(AND(E160="Retiro",F160&gt;=40000,G160="Sucursal"),
  SUMPRODUCT(
    (B$4:B160=B160)*
    (E$4:E160="Depósito")*
    (F$4:F160&gt;=F160*0.8)*
    (D$4:D160&gt;=D160-3)*
    (D$4:D160&lt;D160)
  ),0)</f>
        <v>0</v>
      </c>
    </row>
    <row r="161" spans="1:15" ht="18" customHeight="1" x14ac:dyDescent="0.25">
      <c r="A161" s="59">
        <v>158</v>
      </c>
      <c r="B161" s="59">
        <v>25</v>
      </c>
      <c r="C161" s="55" t="s">
        <v>35</v>
      </c>
      <c r="D161" s="55" t="s">
        <v>679</v>
      </c>
      <c r="E161" s="55" t="s">
        <v>490</v>
      </c>
      <c r="F161" s="77">
        <v>9400</v>
      </c>
      <c r="G161" s="55" t="s">
        <v>494</v>
      </c>
      <c r="H161" s="55" t="s">
        <v>553</v>
      </c>
      <c r="I161" s="76">
        <f>VLOOKUP(B161,'Caso 2 (Socios)'!$A$4:$G$73,4,FALSE)</f>
        <v>9200</v>
      </c>
      <c r="J161" s="75" t="str">
        <f t="shared" si="6"/>
        <v>No</v>
      </c>
      <c r="K161" s="80" t="str">
        <f t="shared" si="7"/>
        <v>✔️</v>
      </c>
      <c r="L161" s="56" t="str">
        <f t="shared" si="8"/>
        <v>Normal</v>
      </c>
      <c r="N161" s="2" cm="1">
        <f t="array" ref="N161">SUMPRODUCT(
  (B$4:B161=B161)*
  (E$4:E161="Depósito")*
  (F$4:F161&gt;=15000)*
  (F$4:F161&lt;=49999)*
  (D$4:D161&gt;=D161-5)*
  (D$4:D161&lt;=D161)
)</f>
        <v>0</v>
      </c>
      <c r="O161" s="2" cm="1">
        <f t="array" ref="O161">IF(AND(E161="Retiro",F161&gt;=40000,G161="Sucursal"),
  SUMPRODUCT(
    (B$4:B161=B161)*
    (E$4:E161="Depósito")*
    (F$4:F161&gt;=F161*0.8)*
    (D$4:D161&gt;=D161-3)*
    (D$4:D161&lt;D161)
  ),0)</f>
        <v>0</v>
      </c>
    </row>
    <row r="162" spans="1:15" ht="18" customHeight="1" x14ac:dyDescent="0.25">
      <c r="A162" s="75">
        <v>159</v>
      </c>
      <c r="B162" s="75">
        <v>58</v>
      </c>
      <c r="C162" s="56" t="s">
        <v>470</v>
      </c>
      <c r="D162" s="56" t="s">
        <v>632</v>
      </c>
      <c r="E162" s="56" t="s">
        <v>490</v>
      </c>
      <c r="F162" s="76">
        <v>27500</v>
      </c>
      <c r="G162" s="56" t="s">
        <v>494</v>
      </c>
      <c r="H162" s="56" t="s">
        <v>570</v>
      </c>
      <c r="I162" s="76">
        <f>VLOOKUP(B162,'Caso 2 (Socios)'!$A$4:$G$73,4,FALSE)</f>
        <v>25000</v>
      </c>
      <c r="J162" s="75" t="str">
        <f t="shared" si="6"/>
        <v>No</v>
      </c>
      <c r="K162" s="80" t="str">
        <f t="shared" si="7"/>
        <v>✔️</v>
      </c>
      <c r="L162" s="56" t="str">
        <f t="shared" si="8"/>
        <v>Normal</v>
      </c>
      <c r="N162" s="2" cm="1">
        <f t="array" ref="N162">SUMPRODUCT(
  (B$4:B162=B162)*
  (E$4:E162="Depósito")*
  (F$4:F162&gt;=15000)*
  (F$4:F162&lt;=49999)*
  (D$4:D162&gt;=D162-5)*
  (D$4:D162&lt;=D162)
)</f>
        <v>1</v>
      </c>
      <c r="O162" s="2" cm="1">
        <f t="array" ref="O162">IF(AND(E162="Retiro",F162&gt;=40000,G162="Sucursal"),
  SUMPRODUCT(
    (B$4:B162=B162)*
    (E$4:E162="Depósito")*
    (F$4:F162&gt;=F162*0.8)*
    (D$4:D162&gt;=D162-3)*
    (D$4:D162&lt;D162)
  ),0)</f>
        <v>0</v>
      </c>
    </row>
    <row r="163" spans="1:15" ht="18" customHeight="1" x14ac:dyDescent="0.25">
      <c r="A163" s="59">
        <v>160</v>
      </c>
      <c r="B163" s="59">
        <v>11</v>
      </c>
      <c r="C163" s="55" t="s">
        <v>21</v>
      </c>
      <c r="D163" s="55" t="s">
        <v>648</v>
      </c>
      <c r="E163" s="55" t="s">
        <v>490</v>
      </c>
      <c r="F163" s="77">
        <v>8900</v>
      </c>
      <c r="G163" s="55" t="s">
        <v>494</v>
      </c>
      <c r="H163" s="55" t="s">
        <v>553</v>
      </c>
      <c r="I163" s="76">
        <f>VLOOKUP(B163,'Caso 2 (Socios)'!$A$4:$G$73,4,FALSE)</f>
        <v>7800</v>
      </c>
      <c r="J163" s="75" t="str">
        <f t="shared" si="6"/>
        <v>No</v>
      </c>
      <c r="K163" s="80" t="str">
        <f t="shared" si="7"/>
        <v>✔️</v>
      </c>
      <c r="L163" s="56" t="str">
        <f t="shared" si="8"/>
        <v>Normal</v>
      </c>
      <c r="N163" s="2" cm="1">
        <f t="array" ref="N163">SUMPRODUCT(
  (B$4:B163=B163)*
  (E$4:E163="Depósito")*
  (F$4:F163&gt;=15000)*
  (F$4:F163&lt;=49999)*
  (D$4:D163&gt;=D163-5)*
  (D$4:D163&lt;=D163)
)</f>
        <v>0</v>
      </c>
      <c r="O163" s="2" cm="1">
        <f t="array" ref="O163">IF(AND(E163="Retiro",F163&gt;=40000,G163="Sucursal"),
  SUMPRODUCT(
    (B$4:B163=B163)*
    (E$4:E163="Depósito")*
    (F$4:F163&gt;=F163*0.8)*
    (D$4:D163&gt;=D163-3)*
    (D$4:D163&lt;D163)
  ),0)</f>
        <v>0</v>
      </c>
    </row>
    <row r="164" spans="1:15" ht="18" customHeight="1" x14ac:dyDescent="0.25">
      <c r="A164" s="75">
        <v>161</v>
      </c>
      <c r="B164" s="75">
        <v>17</v>
      </c>
      <c r="C164" s="56" t="s">
        <v>27</v>
      </c>
      <c r="D164" s="56" t="s">
        <v>658</v>
      </c>
      <c r="E164" s="56" t="s">
        <v>548</v>
      </c>
      <c r="F164" s="76">
        <v>98000</v>
      </c>
      <c r="G164" s="56" t="s">
        <v>494</v>
      </c>
      <c r="H164" s="56" t="s">
        <v>600</v>
      </c>
      <c r="I164" s="76">
        <f>VLOOKUP(B164,'Caso 2 (Socios)'!$A$4:$G$73,4,FALSE)</f>
        <v>16000</v>
      </c>
      <c r="J164" s="75" t="str">
        <f t="shared" si="6"/>
        <v>Sí</v>
      </c>
      <c r="K164" s="80" t="str">
        <f t="shared" si="7"/>
        <v>⚠️</v>
      </c>
      <c r="L164" s="56" t="str">
        <f t="shared" si="8"/>
        <v>Monto alto + Inconsistencia</v>
      </c>
      <c r="N164" s="2" cm="1">
        <f t="array" ref="N164">SUMPRODUCT(
  (B$4:B164=B164)*
  (E$4:E164="Depósito")*
  (F$4:F164&gt;=15000)*
  (F$4:F164&lt;=49999)*
  (D$4:D164&gt;=D164-5)*
  (D$4:D164&lt;=D164)
)</f>
        <v>2</v>
      </c>
      <c r="O164" s="2" cm="1">
        <f t="array" ref="O164">IF(AND(E164="Retiro",F164&gt;=40000,G164="Sucursal"),
  SUMPRODUCT(
    (B$4:B164=B164)*
    (E$4:E164="Depósito")*
    (F$4:F164&gt;=F164*0.8)*
    (D$4:D164&gt;=D164-3)*
    (D$4:D164&lt;D164)
  ),0)</f>
        <v>0</v>
      </c>
    </row>
    <row r="165" spans="1:15" ht="18" customHeight="1" x14ac:dyDescent="0.25">
      <c r="A165" s="59">
        <v>162</v>
      </c>
      <c r="B165" s="59">
        <v>31</v>
      </c>
      <c r="C165" s="55" t="s">
        <v>41</v>
      </c>
      <c r="D165" s="55" t="s">
        <v>666</v>
      </c>
      <c r="E165" s="55" t="s">
        <v>490</v>
      </c>
      <c r="F165" s="77">
        <v>72000</v>
      </c>
      <c r="G165" s="55" t="s">
        <v>494</v>
      </c>
      <c r="H165" s="55" t="s">
        <v>601</v>
      </c>
      <c r="I165" s="76">
        <f>VLOOKUP(B165,'Caso 2 (Socios)'!$A$4:$G$73,4,FALSE)</f>
        <v>25000</v>
      </c>
      <c r="J165" s="75" t="str">
        <f t="shared" si="6"/>
        <v>No</v>
      </c>
      <c r="K165" s="80" t="str">
        <f t="shared" si="7"/>
        <v>⚠️</v>
      </c>
      <c r="L165" s="56" t="str">
        <f t="shared" si="8"/>
        <v>Monto alto en efectivo</v>
      </c>
      <c r="N165" s="2" cm="1">
        <f t="array" ref="N165">SUMPRODUCT(
  (B$4:B165=B165)*
  (E$4:E165="Depósito")*
  (F$4:F165&gt;=15000)*
  (F$4:F165&lt;=49999)*
  (D$4:D165&gt;=D165-5)*
  (D$4:D165&lt;=D165)
)</f>
        <v>0</v>
      </c>
      <c r="O165" s="2" cm="1">
        <f t="array" ref="O165">IF(AND(E165="Retiro",F165&gt;=40000,G165="Sucursal"),
  SUMPRODUCT(
    (B$4:B165=B165)*
    (E$4:E165="Depósito")*
    (F$4:F165&gt;=F165*0.8)*
    (D$4:D165&gt;=D165-3)*
    (D$4:D165&lt;D165)
  ),0)</f>
        <v>0</v>
      </c>
    </row>
    <row r="166" spans="1:15" ht="18" customHeight="1" x14ac:dyDescent="0.25">
      <c r="A166" s="75">
        <v>163</v>
      </c>
      <c r="B166" s="75">
        <v>37</v>
      </c>
      <c r="C166" s="56" t="s">
        <v>46</v>
      </c>
      <c r="D166" s="56" t="s">
        <v>680</v>
      </c>
      <c r="E166" s="56" t="s">
        <v>490</v>
      </c>
      <c r="F166" s="76">
        <v>8800</v>
      </c>
      <c r="G166" s="56" t="s">
        <v>491</v>
      </c>
      <c r="H166" s="56" t="s">
        <v>553</v>
      </c>
      <c r="I166" s="76">
        <f>VLOOKUP(B166,'Caso 2 (Socios)'!$A$4:$G$73,4,FALSE)</f>
        <v>7900</v>
      </c>
      <c r="J166" s="75" t="str">
        <f t="shared" si="6"/>
        <v>No</v>
      </c>
      <c r="K166" s="80" t="str">
        <f t="shared" si="7"/>
        <v>✔️</v>
      </c>
      <c r="L166" s="56" t="str">
        <f t="shared" si="8"/>
        <v>Normal</v>
      </c>
      <c r="N166" s="2" cm="1">
        <f t="array" ref="N166">SUMPRODUCT(
  (B$4:B166=B166)*
  (E$4:E166="Depósito")*
  (F$4:F166&gt;=15000)*
  (F$4:F166&lt;=49999)*
  (D$4:D166&gt;=D166-5)*
  (D$4:D166&lt;=D166)
)</f>
        <v>2</v>
      </c>
      <c r="O166" s="2" cm="1">
        <f t="array" ref="O166">IF(AND(E166="Retiro",F166&gt;=40000,G166="Sucursal"),
  SUMPRODUCT(
    (B$4:B166=B166)*
    (E$4:E166="Depósito")*
    (F$4:F166&gt;=F166*0.8)*
    (D$4:D166&gt;=D166-3)*
    (D$4:D166&lt;D166)
  ),0)</f>
        <v>0</v>
      </c>
    </row>
    <row r="167" spans="1:15" ht="18" customHeight="1" x14ac:dyDescent="0.25">
      <c r="A167" s="59">
        <v>164</v>
      </c>
      <c r="B167" s="59">
        <v>54</v>
      </c>
      <c r="C167" s="55" t="s">
        <v>63</v>
      </c>
      <c r="D167" s="55" t="s">
        <v>624</v>
      </c>
      <c r="E167" s="55" t="s">
        <v>490</v>
      </c>
      <c r="F167" s="77">
        <v>17500</v>
      </c>
      <c r="G167" s="55" t="s">
        <v>494</v>
      </c>
      <c r="H167" s="55" t="s">
        <v>529</v>
      </c>
      <c r="I167" s="76">
        <f>VLOOKUP(B167,'Caso 2 (Socios)'!$A$4:$G$73,4,FALSE)</f>
        <v>15500</v>
      </c>
      <c r="J167" s="75" t="str">
        <f t="shared" si="6"/>
        <v>No</v>
      </c>
      <c r="K167" s="80" t="str">
        <f t="shared" si="7"/>
        <v>⚠️</v>
      </c>
      <c r="L167" s="56" t="str">
        <f t="shared" si="8"/>
        <v>Posible fraccionamiento</v>
      </c>
      <c r="N167" s="2" cm="1">
        <f t="array" ref="N167">SUMPRODUCT(
  (B$4:B167=B167)*
  (E$4:E167="Depósito")*
  (F$4:F167&gt;=15000)*
  (F$4:F167&lt;=49999)*
  (D$4:D167&gt;=D167-5)*
  (D$4:D167&lt;=D167)
)</f>
        <v>4</v>
      </c>
      <c r="O167" s="2" cm="1">
        <f t="array" ref="O167">IF(AND(E167="Retiro",F167&gt;=40000,G167="Sucursal"),
  SUMPRODUCT(
    (B$4:B167=B167)*
    (E$4:E167="Depósito")*
    (F$4:F167&gt;=F167*0.8)*
    (D$4:D167&gt;=D167-3)*
    (D$4:D167&lt;D167)
  ),0)</f>
        <v>0</v>
      </c>
    </row>
    <row r="168" spans="1:15" ht="18" customHeight="1" x14ac:dyDescent="0.25">
      <c r="A168" s="75">
        <v>165</v>
      </c>
      <c r="B168" s="75">
        <v>59</v>
      </c>
      <c r="C168" s="56" t="s">
        <v>471</v>
      </c>
      <c r="D168" s="56" t="s">
        <v>631</v>
      </c>
      <c r="E168" s="56" t="s">
        <v>490</v>
      </c>
      <c r="F168" s="76">
        <v>6700</v>
      </c>
      <c r="G168" s="56" t="s">
        <v>491</v>
      </c>
      <c r="H168" s="56" t="s">
        <v>513</v>
      </c>
      <c r="I168" s="76">
        <f>VLOOKUP(B168,'Caso 2 (Socios)'!$A$4:$G$73,4,FALSE)</f>
        <v>6000</v>
      </c>
      <c r="J168" s="75" t="str">
        <f t="shared" si="6"/>
        <v>No</v>
      </c>
      <c r="K168" s="80" t="str">
        <f t="shared" si="7"/>
        <v>✔️</v>
      </c>
      <c r="L168" s="56" t="str">
        <f t="shared" si="8"/>
        <v>Normal</v>
      </c>
      <c r="N168" s="2" cm="1">
        <f t="array" ref="N168">SUMPRODUCT(
  (B$4:B168=B168)*
  (E$4:E168="Depósito")*
  (F$4:F168&gt;=15000)*
  (F$4:F168&lt;=49999)*
  (D$4:D168&gt;=D168-5)*
  (D$4:D168&lt;=D168)
)</f>
        <v>0</v>
      </c>
      <c r="O168" s="2" cm="1">
        <f t="array" ref="O168">IF(AND(E168="Retiro",F168&gt;=40000,G168="Sucursal"),
  SUMPRODUCT(
    (B$4:B168=B168)*
    (E$4:E168="Depósito")*
    (F$4:F168&gt;=F168*0.8)*
    (D$4:D168&gt;=D168-3)*
    (D$4:D168&lt;D168)
  ),0)</f>
        <v>0</v>
      </c>
    </row>
    <row r="169" spans="1:15" ht="18" customHeight="1" x14ac:dyDescent="0.25">
      <c r="A169" s="59">
        <v>166</v>
      </c>
      <c r="B169" s="59">
        <v>8</v>
      </c>
      <c r="C169" s="55" t="s">
        <v>10</v>
      </c>
      <c r="D169" s="55" t="s">
        <v>646</v>
      </c>
      <c r="E169" s="55" t="s">
        <v>490</v>
      </c>
      <c r="F169" s="77">
        <v>6900</v>
      </c>
      <c r="G169" s="55" t="s">
        <v>494</v>
      </c>
      <c r="H169" s="55" t="s">
        <v>513</v>
      </c>
      <c r="I169" s="76">
        <f>VLOOKUP(B169,'Caso 2 (Socios)'!$A$4:$G$73,4,FALSE)</f>
        <v>6000</v>
      </c>
      <c r="J169" s="75" t="str">
        <f t="shared" si="6"/>
        <v>No</v>
      </c>
      <c r="K169" s="80" t="str">
        <f t="shared" si="7"/>
        <v>✔️</v>
      </c>
      <c r="L169" s="56" t="str">
        <f t="shared" si="8"/>
        <v>Normal</v>
      </c>
      <c r="N169" s="2" cm="1">
        <f t="array" ref="N169">SUMPRODUCT(
  (B$4:B169=B169)*
  (E$4:E169="Depósito")*
  (F$4:F169&gt;=15000)*
  (F$4:F169&lt;=49999)*
  (D$4:D169&gt;=D169-5)*
  (D$4:D169&lt;=D169)
)</f>
        <v>0</v>
      </c>
      <c r="O169" s="2" cm="1">
        <f t="array" ref="O169">IF(AND(E169="Retiro",F169&gt;=40000,G169="Sucursal"),
  SUMPRODUCT(
    (B$4:B169=B169)*
    (E$4:E169="Depósito")*
    (F$4:F169&gt;=F169*0.8)*
    (D$4:D169&gt;=D169-3)*
    (D$4:D169&lt;D169)
  ),0)</f>
        <v>0</v>
      </c>
    </row>
    <row r="170" spans="1:15" ht="18" customHeight="1" x14ac:dyDescent="0.25">
      <c r="A170" s="75">
        <v>167</v>
      </c>
      <c r="B170" s="75">
        <v>40</v>
      </c>
      <c r="C170" s="56" t="s">
        <v>49</v>
      </c>
      <c r="D170" s="56" t="s">
        <v>661</v>
      </c>
      <c r="E170" s="56" t="s">
        <v>490</v>
      </c>
      <c r="F170" s="76">
        <v>11700</v>
      </c>
      <c r="G170" s="56" t="s">
        <v>491</v>
      </c>
      <c r="H170" s="56" t="s">
        <v>497</v>
      </c>
      <c r="I170" s="76">
        <f>VLOOKUP(B170,'Caso 2 (Socios)'!$A$4:$G$73,4,FALSE)</f>
        <v>11200</v>
      </c>
      <c r="J170" s="75" t="str">
        <f t="shared" si="6"/>
        <v>No</v>
      </c>
      <c r="K170" s="80" t="str">
        <f t="shared" si="7"/>
        <v>✔️</v>
      </c>
      <c r="L170" s="56" t="str">
        <f t="shared" si="8"/>
        <v>Normal</v>
      </c>
      <c r="N170" s="2" cm="1">
        <f t="array" ref="N170">SUMPRODUCT(
  (B$4:B170=B170)*
  (E$4:E170="Depósito")*
  (F$4:F170&gt;=15000)*
  (F$4:F170&lt;=49999)*
  (D$4:D170&gt;=D170-5)*
  (D$4:D170&lt;=D170)
)</f>
        <v>0</v>
      </c>
      <c r="O170" s="2" cm="1">
        <f t="array" ref="O170">IF(AND(E170="Retiro",F170&gt;=40000,G170="Sucursal"),
  SUMPRODUCT(
    (B$4:B170=B170)*
    (E$4:E170="Depósito")*
    (F$4:F170&gt;=F170*0.8)*
    (D$4:D170&gt;=D170-3)*
    (D$4:D170&lt;D170)
  ),0)</f>
        <v>0</v>
      </c>
    </row>
    <row r="171" spans="1:15" ht="18" customHeight="1" x14ac:dyDescent="0.25">
      <c r="A171" s="59">
        <v>168</v>
      </c>
      <c r="B171" s="59">
        <v>52</v>
      </c>
      <c r="C171" s="55" t="s">
        <v>61</v>
      </c>
      <c r="D171" s="55" t="s">
        <v>668</v>
      </c>
      <c r="E171" s="55" t="s">
        <v>490</v>
      </c>
      <c r="F171" s="77">
        <v>11500</v>
      </c>
      <c r="G171" s="55" t="s">
        <v>494</v>
      </c>
      <c r="H171" s="55" t="s">
        <v>497</v>
      </c>
      <c r="I171" s="76">
        <f>VLOOKUP(B171,'Caso 2 (Socios)'!$A$4:$G$73,4,FALSE)</f>
        <v>11000</v>
      </c>
      <c r="J171" s="75" t="str">
        <f t="shared" si="6"/>
        <v>No</v>
      </c>
      <c r="K171" s="80" t="str">
        <f t="shared" si="7"/>
        <v>✔️</v>
      </c>
      <c r="L171" s="56" t="str">
        <f t="shared" si="8"/>
        <v>Normal</v>
      </c>
      <c r="N171" s="2" cm="1">
        <f t="array" ref="N171">SUMPRODUCT(
  (B$4:B171=B171)*
  (E$4:E171="Depósito")*
  (F$4:F171&gt;=15000)*
  (F$4:F171&lt;=49999)*
  (D$4:D171&gt;=D171-5)*
  (D$4:D171&lt;=D171)
)</f>
        <v>0</v>
      </c>
      <c r="O171" s="2" cm="1">
        <f t="array" ref="O171">IF(AND(E171="Retiro",F171&gt;=40000,G171="Sucursal"),
  SUMPRODUCT(
    (B$4:B171=B171)*
    (E$4:E171="Depósito")*
    (F$4:F171&gt;=F171*0.8)*
    (D$4:D171&gt;=D171-3)*
    (D$4:D171&lt;D171)
  ),0)</f>
        <v>0</v>
      </c>
    </row>
    <row r="172" spans="1:15" ht="18" customHeight="1" x14ac:dyDescent="0.25">
      <c r="A172" s="75">
        <v>169</v>
      </c>
      <c r="B172" s="75">
        <v>56</v>
      </c>
      <c r="C172" s="56" t="s">
        <v>468</v>
      </c>
      <c r="D172" s="56" t="s">
        <v>606</v>
      </c>
      <c r="E172" s="56" t="s">
        <v>490</v>
      </c>
      <c r="F172" s="76">
        <v>19200</v>
      </c>
      <c r="G172" s="56" t="s">
        <v>494</v>
      </c>
      <c r="H172" s="56" t="s">
        <v>557</v>
      </c>
      <c r="I172" s="76">
        <f>VLOOKUP(B172,'Caso 2 (Socios)'!$A$4:$G$73,4,FALSE)</f>
        <v>18000</v>
      </c>
      <c r="J172" s="75" t="str">
        <f t="shared" si="6"/>
        <v>No</v>
      </c>
      <c r="K172" s="80" t="str">
        <f t="shared" si="7"/>
        <v>⚠️</v>
      </c>
      <c r="L172" s="56" t="str">
        <f t="shared" si="8"/>
        <v>Posible fraccionamiento</v>
      </c>
      <c r="N172" s="2" cm="1">
        <f t="array" ref="N172">SUMPRODUCT(
  (B$4:B172=B172)*
  (E$4:E172="Depósito")*
  (F$4:F172&gt;=15000)*
  (F$4:F172&lt;=49999)*
  (D$4:D172&gt;=D172-5)*
  (D$4:D172&lt;=D172)
)</f>
        <v>2</v>
      </c>
      <c r="O172" s="2" cm="1">
        <f t="array" ref="O172">IF(AND(E172="Retiro",F172&gt;=40000,G172="Sucursal"),
  SUMPRODUCT(
    (B$4:B172=B172)*
    (E$4:E172="Depósito")*
    (F$4:F172&gt;=F172*0.8)*
    (D$4:D172&gt;=D172-3)*
    (D$4:D172&lt;D172)
  ),0)</f>
        <v>0</v>
      </c>
    </row>
    <row r="173" spans="1:15" ht="18" customHeight="1" x14ac:dyDescent="0.25">
      <c r="A173" s="59">
        <v>170</v>
      </c>
      <c r="B173" s="59">
        <v>60</v>
      </c>
      <c r="C173" s="55" t="s">
        <v>472</v>
      </c>
      <c r="D173" s="55" t="s">
        <v>621</v>
      </c>
      <c r="E173" s="55" t="s">
        <v>490</v>
      </c>
      <c r="F173" s="77">
        <v>23500</v>
      </c>
      <c r="G173" s="55" t="s">
        <v>494</v>
      </c>
      <c r="H173" s="55" t="s">
        <v>544</v>
      </c>
      <c r="I173" s="76">
        <f>VLOOKUP(B173,'Caso 2 (Socios)'!$A$4:$G$73,4,FALSE)</f>
        <v>22000</v>
      </c>
      <c r="J173" s="75" t="str">
        <f t="shared" si="6"/>
        <v>No</v>
      </c>
      <c r="K173" s="80" t="str">
        <f t="shared" si="7"/>
        <v>✔️</v>
      </c>
      <c r="L173" s="56" t="str">
        <f t="shared" si="8"/>
        <v>Normal</v>
      </c>
      <c r="N173" s="2" cm="1">
        <f t="array" ref="N173">SUMPRODUCT(
  (B$4:B173=B173)*
  (E$4:E173="Depósito")*
  (F$4:F173&gt;=15000)*
  (F$4:F173&lt;=49999)*
  (D$4:D173&gt;=D173-5)*
  (D$4:D173&lt;=D173)
)</f>
        <v>1</v>
      </c>
      <c r="O173" s="2" cm="1">
        <f t="array" ref="O173">IF(AND(E173="Retiro",F173&gt;=40000,G173="Sucursal"),
  SUMPRODUCT(
    (B$4:B173=B173)*
    (E$4:E173="Depósito")*
    (F$4:F173&gt;=F173*0.8)*
    (D$4:D173&gt;=D173-3)*
    (D$4:D173&lt;D173)
  ),0)</f>
        <v>0</v>
      </c>
    </row>
    <row r="174" spans="1:15" ht="18" customHeight="1" x14ac:dyDescent="0.25">
      <c r="A174" s="75">
        <v>171</v>
      </c>
      <c r="B174" s="75">
        <v>1</v>
      </c>
      <c r="C174" s="56" t="s">
        <v>12</v>
      </c>
      <c r="D174" s="56" t="s">
        <v>681</v>
      </c>
      <c r="E174" s="56" t="s">
        <v>490</v>
      </c>
      <c r="F174" s="76">
        <v>8200</v>
      </c>
      <c r="G174" s="56" t="s">
        <v>494</v>
      </c>
      <c r="H174" s="56" t="s">
        <v>682</v>
      </c>
      <c r="I174" s="76">
        <f>VLOOKUP(B174,'Caso 2 (Socios)'!$A$4:$G$73,4,FALSE)</f>
        <v>8500</v>
      </c>
      <c r="J174" s="75" t="str">
        <f t="shared" si="6"/>
        <v>No</v>
      </c>
      <c r="K174" s="80" t="str">
        <f t="shared" si="7"/>
        <v>✔️</v>
      </c>
      <c r="L174" s="56" t="str">
        <f t="shared" si="8"/>
        <v>Normal</v>
      </c>
      <c r="N174" s="2" cm="1">
        <f t="array" ref="N174">SUMPRODUCT(
  (B$4:B174=B174)*
  (E$4:E174="Depósito")*
  (F$4:F174&gt;=15000)*
  (F$4:F174&lt;=49999)*
  (D$4:D174&gt;=D174-5)*
  (D$4:D174&lt;=D174)
)</f>
        <v>0</v>
      </c>
      <c r="O174" s="2" cm="1">
        <f t="array" ref="O174">IF(AND(E174="Retiro",F174&gt;=40000,G174="Sucursal"),
  SUMPRODUCT(
    (B$4:B174=B174)*
    (E$4:E174="Depósito")*
    (F$4:F174&gt;=F174*0.8)*
    (D$4:D174&gt;=D174-3)*
    (D$4:D174&lt;D174)
  ),0)</f>
        <v>0</v>
      </c>
    </row>
    <row r="175" spans="1:15" ht="18" customHeight="1" x14ac:dyDescent="0.25">
      <c r="A175" s="59">
        <v>172</v>
      </c>
      <c r="B175" s="59">
        <v>1</v>
      </c>
      <c r="C175" s="55" t="s">
        <v>12</v>
      </c>
      <c r="D175" s="55" t="s">
        <v>683</v>
      </c>
      <c r="E175" s="55" t="s">
        <v>490</v>
      </c>
      <c r="F175" s="77">
        <v>7500</v>
      </c>
      <c r="G175" s="55" t="s">
        <v>491</v>
      </c>
      <c r="H175" s="55" t="s">
        <v>682</v>
      </c>
      <c r="I175" s="76">
        <f>VLOOKUP(B175,'Caso 2 (Socios)'!$A$4:$G$73,4,FALSE)</f>
        <v>8500</v>
      </c>
      <c r="J175" s="75" t="str">
        <f t="shared" si="6"/>
        <v>No</v>
      </c>
      <c r="K175" s="80" t="str">
        <f t="shared" si="7"/>
        <v>✔️</v>
      </c>
      <c r="L175" s="56" t="str">
        <f t="shared" si="8"/>
        <v>Normal</v>
      </c>
      <c r="N175" s="2" cm="1">
        <f t="array" ref="N175">SUMPRODUCT(
  (B$4:B175=B175)*
  (E$4:E175="Depósito")*
  (F$4:F175&gt;=15000)*
  (F$4:F175&lt;=49999)*
  (D$4:D175&gt;=D175-5)*
  (D$4:D175&lt;=D175)
)</f>
        <v>0</v>
      </c>
      <c r="O175" s="2" cm="1">
        <f t="array" ref="O175">IF(AND(E175="Retiro",F175&gt;=40000,G175="Sucursal"),
  SUMPRODUCT(
    (B$4:B175=B175)*
    (E$4:E175="Depósito")*
    (F$4:F175&gt;=F175*0.8)*
    (D$4:D175&gt;=D175-3)*
    (D$4:D175&lt;D175)
  ),0)</f>
        <v>0</v>
      </c>
    </row>
    <row r="176" spans="1:15" ht="18" customHeight="1" x14ac:dyDescent="0.25">
      <c r="A176" s="75">
        <v>173</v>
      </c>
      <c r="B176" s="75">
        <v>2</v>
      </c>
      <c r="C176" s="56" t="s">
        <v>13</v>
      </c>
      <c r="D176" s="56" t="s">
        <v>684</v>
      </c>
      <c r="E176" s="56" t="s">
        <v>490</v>
      </c>
      <c r="F176" s="76">
        <v>12000</v>
      </c>
      <c r="G176" s="56" t="s">
        <v>494</v>
      </c>
      <c r="H176" s="56" t="s">
        <v>685</v>
      </c>
      <c r="I176" s="76">
        <f>VLOOKUP(B176,'Caso 2 (Socios)'!$A$4:$G$73,4,FALSE)</f>
        <v>12000</v>
      </c>
      <c r="J176" s="75" t="str">
        <f t="shared" si="6"/>
        <v>No</v>
      </c>
      <c r="K176" s="80" t="str">
        <f t="shared" si="7"/>
        <v>✔️</v>
      </c>
      <c r="L176" s="56" t="str">
        <f t="shared" si="8"/>
        <v>Normal</v>
      </c>
      <c r="N176" s="2" cm="1">
        <f t="array" ref="N176">SUMPRODUCT(
  (B$4:B176=B176)*
  (E$4:E176="Depósito")*
  (F$4:F176&gt;=15000)*
  (F$4:F176&lt;=49999)*
  (D$4:D176&gt;=D176-5)*
  (D$4:D176&lt;=D176)
)</f>
        <v>0</v>
      </c>
      <c r="O176" s="2" cm="1">
        <f t="array" ref="O176">IF(AND(E176="Retiro",F176&gt;=40000,G176="Sucursal"),
  SUMPRODUCT(
    (B$4:B176=B176)*
    (E$4:E176="Depósito")*
    (F$4:F176&gt;=F176*0.8)*
    (D$4:D176&gt;=D176-3)*
    (D$4:D176&lt;D176)
  ),0)</f>
        <v>0</v>
      </c>
    </row>
    <row r="177" spans="1:15" ht="18" customHeight="1" x14ac:dyDescent="0.25">
      <c r="A177" s="59">
        <v>174</v>
      </c>
      <c r="B177" s="59">
        <v>3</v>
      </c>
      <c r="C177" s="55" t="s">
        <v>14</v>
      </c>
      <c r="D177" s="55" t="s">
        <v>686</v>
      </c>
      <c r="E177" s="55" t="s">
        <v>490</v>
      </c>
      <c r="F177" s="77">
        <v>48500</v>
      </c>
      <c r="G177" s="55" t="s">
        <v>494</v>
      </c>
      <c r="H177" s="55" t="s">
        <v>566</v>
      </c>
      <c r="I177" s="76">
        <f>VLOOKUP(B177,'Caso 2 (Socios)'!$A$4:$G$73,4,FALSE)</f>
        <v>7200</v>
      </c>
      <c r="J177" s="75" t="str">
        <f t="shared" si="6"/>
        <v>Sí</v>
      </c>
      <c r="K177" s="80" t="str">
        <f t="shared" si="7"/>
        <v>⚠️</v>
      </c>
      <c r="L177" s="56" t="str">
        <f t="shared" si="8"/>
        <v>Inconsistencia de perfil</v>
      </c>
      <c r="N177" s="2" cm="1">
        <f t="array" ref="N177">SUMPRODUCT(
  (B$4:B177=B177)*
  (E$4:E177="Depósito")*
  (F$4:F177&gt;=15000)*
  (F$4:F177&lt;=49999)*
  (D$4:D177&gt;=D177-5)*
  (D$4:D177&lt;=D177)
)</f>
        <v>1</v>
      </c>
      <c r="O177" s="2" cm="1">
        <f t="array" ref="O177">IF(AND(E177="Retiro",F177&gt;=40000,G177="Sucursal"),
  SUMPRODUCT(
    (B$4:B177=B177)*
    (E$4:E177="Depósito")*
    (F$4:F177&gt;=F177*0.8)*
    (D$4:D177&gt;=D177-3)*
    (D$4:D177&lt;D177)
  ),0)</f>
        <v>0</v>
      </c>
    </row>
    <row r="178" spans="1:15" ht="18" customHeight="1" x14ac:dyDescent="0.25">
      <c r="A178" s="75">
        <v>175</v>
      </c>
      <c r="B178" s="75">
        <v>4</v>
      </c>
      <c r="C178" s="56" t="s">
        <v>15</v>
      </c>
      <c r="D178" s="56" t="s">
        <v>687</v>
      </c>
      <c r="E178" s="56" t="s">
        <v>490</v>
      </c>
      <c r="F178" s="76">
        <v>9800</v>
      </c>
      <c r="G178" s="56" t="s">
        <v>491</v>
      </c>
      <c r="H178" s="56" t="s">
        <v>495</v>
      </c>
      <c r="I178" s="76">
        <f>VLOOKUP(B178,'Caso 2 (Socios)'!$A$4:$G$73,4,FALSE)</f>
        <v>9800</v>
      </c>
      <c r="J178" s="75" t="str">
        <f t="shared" si="6"/>
        <v>No</v>
      </c>
      <c r="K178" s="80" t="str">
        <f t="shared" si="7"/>
        <v>✔️</v>
      </c>
      <c r="L178" s="56" t="str">
        <f t="shared" si="8"/>
        <v>Normal</v>
      </c>
      <c r="N178" s="2" cm="1">
        <f t="array" ref="N178">SUMPRODUCT(
  (B$4:B178=B178)*
  (E$4:E178="Depósito")*
  (F$4:F178&gt;=15000)*
  (F$4:F178&lt;=49999)*
  (D$4:D178&gt;=D178-5)*
  (D$4:D178&lt;=D178)
)</f>
        <v>0</v>
      </c>
      <c r="O178" s="2" cm="1">
        <f t="array" ref="O178">IF(AND(E178="Retiro",F178&gt;=40000,G178="Sucursal"),
  SUMPRODUCT(
    (B$4:B178=B178)*
    (E$4:E178="Depósito")*
    (F$4:F178&gt;=F178*0.8)*
    (D$4:D178&gt;=D178-3)*
    (D$4:D178&lt;D178)
  ),0)</f>
        <v>0</v>
      </c>
    </row>
    <row r="179" spans="1:15" ht="18" customHeight="1" x14ac:dyDescent="0.25">
      <c r="A179" s="59">
        <v>176</v>
      </c>
      <c r="B179" s="59">
        <v>5</v>
      </c>
      <c r="C179" s="55" t="s">
        <v>16</v>
      </c>
      <c r="D179" s="55" t="s">
        <v>688</v>
      </c>
      <c r="E179" s="55" t="s">
        <v>490</v>
      </c>
      <c r="F179" s="77">
        <v>42000</v>
      </c>
      <c r="G179" s="55" t="s">
        <v>494</v>
      </c>
      <c r="H179" s="55" t="s">
        <v>517</v>
      </c>
      <c r="I179" s="76">
        <f>VLOOKUP(B179,'Caso 2 (Socios)'!$A$4:$G$73,4,FALSE)</f>
        <v>15000</v>
      </c>
      <c r="J179" s="75" t="str">
        <f t="shared" si="6"/>
        <v>No</v>
      </c>
      <c r="K179" s="80" t="str">
        <f t="shared" si="7"/>
        <v>✔️</v>
      </c>
      <c r="L179" s="56" t="str">
        <f t="shared" si="8"/>
        <v>Normal</v>
      </c>
      <c r="N179" s="2" cm="1">
        <f t="array" ref="N179">SUMPRODUCT(
  (B$4:B179=B179)*
  (E$4:E179="Depósito")*
  (F$4:F179&gt;=15000)*
  (F$4:F179&lt;=49999)*
  (D$4:D179&gt;=D179-5)*
  (D$4:D179&lt;=D179)
)</f>
        <v>1</v>
      </c>
      <c r="O179" s="2" cm="1">
        <f t="array" ref="O179">IF(AND(E179="Retiro",F179&gt;=40000,G179="Sucursal"),
  SUMPRODUCT(
    (B$4:B179=B179)*
    (E$4:E179="Depósito")*
    (F$4:F179&gt;=F179*0.8)*
    (D$4:D179&gt;=D179-3)*
    (D$4:D179&lt;D179)
  ),0)</f>
        <v>0</v>
      </c>
    </row>
    <row r="180" spans="1:15" ht="18" customHeight="1" x14ac:dyDescent="0.25">
      <c r="A180" s="75">
        <v>177</v>
      </c>
      <c r="B180" s="75">
        <v>5</v>
      </c>
      <c r="C180" s="56" t="s">
        <v>16</v>
      </c>
      <c r="D180" s="56" t="s">
        <v>689</v>
      </c>
      <c r="E180" s="56" t="s">
        <v>490</v>
      </c>
      <c r="F180" s="76">
        <v>38000</v>
      </c>
      <c r="G180" s="56" t="s">
        <v>494</v>
      </c>
      <c r="H180" s="56" t="s">
        <v>517</v>
      </c>
      <c r="I180" s="76">
        <f>VLOOKUP(B180,'Caso 2 (Socios)'!$A$4:$G$73,4,FALSE)</f>
        <v>15000</v>
      </c>
      <c r="J180" s="75" t="str">
        <f t="shared" si="6"/>
        <v>No</v>
      </c>
      <c r="K180" s="80" t="str">
        <f t="shared" si="7"/>
        <v>⚠️</v>
      </c>
      <c r="L180" s="56" t="str">
        <f t="shared" si="8"/>
        <v>Posible fraccionamiento</v>
      </c>
      <c r="N180" s="2" cm="1">
        <f t="array" ref="N180">SUMPRODUCT(
  (B$4:B180=B180)*
  (E$4:E180="Depósito")*
  (F$4:F180&gt;=15000)*
  (F$4:F180&lt;=49999)*
  (D$4:D180&gt;=D180-5)*
  (D$4:D180&lt;=D180)
)</f>
        <v>2</v>
      </c>
      <c r="O180" s="2" cm="1">
        <f t="array" ref="O180">IF(AND(E180="Retiro",F180&gt;=40000,G180="Sucursal"),
  SUMPRODUCT(
    (B$4:B180=B180)*
    (E$4:E180="Depósito")*
    (F$4:F180&gt;=F180*0.8)*
    (D$4:D180&gt;=D180-3)*
    (D$4:D180&lt;D180)
  ),0)</f>
        <v>0</v>
      </c>
    </row>
    <row r="181" spans="1:15" ht="18" customHeight="1" x14ac:dyDescent="0.25">
      <c r="A181" s="59">
        <v>178</v>
      </c>
      <c r="B181" s="59">
        <v>6</v>
      </c>
      <c r="C181" s="55" t="s">
        <v>17</v>
      </c>
      <c r="D181" s="55" t="s">
        <v>690</v>
      </c>
      <c r="E181" s="55" t="s">
        <v>490</v>
      </c>
      <c r="F181" s="77">
        <v>11000</v>
      </c>
      <c r="G181" s="55" t="s">
        <v>491</v>
      </c>
      <c r="H181" s="55" t="s">
        <v>497</v>
      </c>
      <c r="I181" s="76">
        <f>VLOOKUP(B181,'Caso 2 (Socios)'!$A$4:$G$73,4,FALSE)</f>
        <v>11500</v>
      </c>
      <c r="J181" s="75" t="str">
        <f t="shared" si="6"/>
        <v>No</v>
      </c>
      <c r="K181" s="80" t="str">
        <f t="shared" si="7"/>
        <v>✔️</v>
      </c>
      <c r="L181" s="56" t="str">
        <f t="shared" si="8"/>
        <v>Normal</v>
      </c>
      <c r="N181" s="2" cm="1">
        <f t="array" ref="N181">SUMPRODUCT(
  (B$4:B181=B181)*
  (E$4:E181="Depósito")*
  (F$4:F181&gt;=15000)*
  (F$4:F181&lt;=49999)*
  (D$4:D181&gt;=D181-5)*
  (D$4:D181&lt;=D181)
)</f>
        <v>0</v>
      </c>
      <c r="O181" s="2" cm="1">
        <f t="array" ref="O181">IF(AND(E181="Retiro",F181&gt;=40000,G181="Sucursal"),
  SUMPRODUCT(
    (B$4:B181=B181)*
    (E$4:E181="Depósito")*
    (F$4:F181&gt;=F181*0.8)*
    (D$4:D181&gt;=D181-3)*
    (D$4:D181&lt;D181)
  ),0)</f>
        <v>0</v>
      </c>
    </row>
    <row r="182" spans="1:15" ht="18" customHeight="1" x14ac:dyDescent="0.25">
      <c r="A182" s="75">
        <v>179</v>
      </c>
      <c r="B182" s="75">
        <v>7</v>
      </c>
      <c r="C182" s="56" t="s">
        <v>18</v>
      </c>
      <c r="D182" s="56" t="s">
        <v>691</v>
      </c>
      <c r="E182" s="56" t="s">
        <v>490</v>
      </c>
      <c r="F182" s="76">
        <v>95000</v>
      </c>
      <c r="G182" s="56" t="s">
        <v>494</v>
      </c>
      <c r="H182" s="56" t="s">
        <v>692</v>
      </c>
      <c r="I182" s="76">
        <f>VLOOKUP(B182,'Caso 2 (Socios)'!$A$4:$G$73,4,FALSE)</f>
        <v>28000</v>
      </c>
      <c r="J182" s="75" t="str">
        <f t="shared" si="6"/>
        <v>Sí</v>
      </c>
      <c r="K182" s="80" t="str">
        <f t="shared" si="7"/>
        <v>⚠️</v>
      </c>
      <c r="L182" s="56" t="str">
        <f t="shared" si="8"/>
        <v>Monto alto + Inconsistencia</v>
      </c>
      <c r="N182" s="2" cm="1">
        <f t="array" ref="N182">SUMPRODUCT(
  (B$4:B182=B182)*
  (E$4:E182="Depósito")*
  (F$4:F182&gt;=15000)*
  (F$4:F182&lt;=49999)*
  (D$4:D182&gt;=D182-5)*
  (D$4:D182&lt;=D182)
)</f>
        <v>0</v>
      </c>
      <c r="O182" s="2" cm="1">
        <f t="array" ref="O182">IF(AND(E182="Retiro",F182&gt;=40000,G182="Sucursal"),
  SUMPRODUCT(
    (B$4:B182=B182)*
    (E$4:E182="Depósito")*
    (F$4:F182&gt;=F182*0.8)*
    (D$4:D182&gt;=D182-3)*
    (D$4:D182&lt;D182)
  ),0)</f>
        <v>0</v>
      </c>
    </row>
    <row r="183" spans="1:15" ht="18" customHeight="1" x14ac:dyDescent="0.25">
      <c r="A183" s="59">
        <v>180</v>
      </c>
      <c r="B183" s="59">
        <v>8</v>
      </c>
      <c r="C183" s="55" t="s">
        <v>10</v>
      </c>
      <c r="D183" s="55" t="s">
        <v>693</v>
      </c>
      <c r="E183" s="55" t="s">
        <v>490</v>
      </c>
      <c r="F183" s="77">
        <v>6000</v>
      </c>
      <c r="G183" s="55" t="s">
        <v>494</v>
      </c>
      <c r="H183" s="55" t="s">
        <v>507</v>
      </c>
      <c r="I183" s="76">
        <f>VLOOKUP(B183,'Caso 2 (Socios)'!$A$4:$G$73,4,FALSE)</f>
        <v>6000</v>
      </c>
      <c r="J183" s="75" t="str">
        <f t="shared" si="6"/>
        <v>No</v>
      </c>
      <c r="K183" s="80" t="str">
        <f t="shared" si="7"/>
        <v>✔️</v>
      </c>
      <c r="L183" s="56" t="str">
        <f t="shared" si="8"/>
        <v>Normal</v>
      </c>
      <c r="N183" s="2" cm="1">
        <f t="array" ref="N183">SUMPRODUCT(
  (B$4:B183=B183)*
  (E$4:E183="Depósito")*
  (F$4:F183&gt;=15000)*
  (F$4:F183&lt;=49999)*
  (D$4:D183&gt;=D183-5)*
  (D$4:D183&lt;=D183)
)</f>
        <v>0</v>
      </c>
      <c r="O183" s="2" cm="1">
        <f t="array" ref="O183">IF(AND(E183="Retiro",F183&gt;=40000,G183="Sucursal"),
  SUMPRODUCT(
    (B$4:B183=B183)*
    (E$4:E183="Depósito")*
    (F$4:F183&gt;=F183*0.8)*
    (D$4:D183&gt;=D183-3)*
    (D$4:D183&lt;D183)
  ),0)</f>
        <v>0</v>
      </c>
    </row>
    <row r="184" spans="1:15" ht="18" customHeight="1" x14ac:dyDescent="0.25">
      <c r="A184" s="75">
        <v>181</v>
      </c>
      <c r="B184" s="75">
        <v>1</v>
      </c>
      <c r="C184" s="56" t="s">
        <v>12</v>
      </c>
      <c r="D184" s="56" t="s">
        <v>694</v>
      </c>
      <c r="E184" s="56" t="s">
        <v>490</v>
      </c>
      <c r="F184" s="76">
        <v>9100</v>
      </c>
      <c r="G184" s="56" t="s">
        <v>491</v>
      </c>
      <c r="H184" s="56" t="s">
        <v>682</v>
      </c>
      <c r="I184" s="76">
        <f>VLOOKUP(B184,'Caso 2 (Socios)'!$A$4:$G$73,4,FALSE)</f>
        <v>8500</v>
      </c>
      <c r="J184" s="75" t="str">
        <f t="shared" si="6"/>
        <v>No</v>
      </c>
      <c r="K184" s="80" t="str">
        <f t="shared" si="7"/>
        <v>✔️</v>
      </c>
      <c r="L184" s="56" t="str">
        <f t="shared" si="8"/>
        <v>Normal</v>
      </c>
      <c r="N184" s="2" cm="1">
        <f t="array" ref="N184">SUMPRODUCT(
  (B$4:B184=B184)*
  (E$4:E184="Depósito")*
  (F$4:F184&gt;=15000)*
  (F$4:F184&lt;=49999)*
  (D$4:D184&gt;=D184-5)*
  (D$4:D184&lt;=D184)
)</f>
        <v>0</v>
      </c>
      <c r="O184" s="2" cm="1">
        <f t="array" ref="O184">IF(AND(E184="Retiro",F184&gt;=40000,G184="Sucursal"),
  SUMPRODUCT(
    (B$4:B184=B184)*
    (E$4:E184="Depósito")*
    (F$4:F184&gt;=F184*0.8)*
    (D$4:D184&gt;=D184-3)*
    (D$4:D184&lt;D184)
  ),0)</f>
        <v>0</v>
      </c>
    </row>
    <row r="185" spans="1:15" ht="18" customHeight="1" x14ac:dyDescent="0.25">
      <c r="A185" s="59">
        <v>182</v>
      </c>
      <c r="B185" s="59">
        <v>9</v>
      </c>
      <c r="C185" s="55" t="s">
        <v>19</v>
      </c>
      <c r="D185" s="55" t="s">
        <v>695</v>
      </c>
      <c r="E185" s="55" t="s">
        <v>548</v>
      </c>
      <c r="F185" s="77">
        <v>75000</v>
      </c>
      <c r="G185" s="55" t="s">
        <v>494</v>
      </c>
      <c r="H185" s="55" t="s">
        <v>696</v>
      </c>
      <c r="I185" s="76">
        <f>VLOOKUP(B185,'Caso 2 (Socios)'!$A$4:$G$73,4,FALSE)</f>
        <v>22000</v>
      </c>
      <c r="J185" s="75" t="str">
        <f t="shared" si="6"/>
        <v>Sí</v>
      </c>
      <c r="K185" s="80" t="str">
        <f t="shared" si="7"/>
        <v>⚠️</v>
      </c>
      <c r="L185" s="56" t="str">
        <f t="shared" si="8"/>
        <v>Monto alto + Inconsistencia</v>
      </c>
      <c r="N185" s="2" cm="1">
        <f t="array" ref="N185">SUMPRODUCT(
  (B$4:B185=B185)*
  (E$4:E185="Depósito")*
  (F$4:F185&gt;=15000)*
  (F$4:F185&lt;=49999)*
  (D$4:D185&gt;=D185-5)*
  (D$4:D185&lt;=D185)
)</f>
        <v>0</v>
      </c>
      <c r="O185" s="2" cm="1">
        <f t="array" ref="O185">IF(AND(E185="Retiro",F185&gt;=40000,G185="Sucursal"),
  SUMPRODUCT(
    (B$4:B185=B185)*
    (E$4:E185="Depósito")*
    (F$4:F185&gt;=F185*0.8)*
    (D$4:D185&gt;=D185-3)*
    (D$4:D185&lt;D185)
  ),0)</f>
        <v>0</v>
      </c>
    </row>
    <row r="186" spans="1:15" ht="18" customHeight="1" x14ac:dyDescent="0.25">
      <c r="A186" s="75">
        <v>183</v>
      </c>
      <c r="B186" s="75">
        <v>10</v>
      </c>
      <c r="C186" s="56" t="s">
        <v>20</v>
      </c>
      <c r="D186" s="56" t="s">
        <v>697</v>
      </c>
      <c r="E186" s="56" t="s">
        <v>490</v>
      </c>
      <c r="F186" s="76">
        <v>8200</v>
      </c>
      <c r="G186" s="56" t="s">
        <v>491</v>
      </c>
      <c r="H186" s="56" t="s">
        <v>698</v>
      </c>
      <c r="I186" s="76">
        <f>VLOOKUP(B186,'Caso 2 (Socios)'!$A$4:$G$73,4,FALSE)</f>
        <v>8200</v>
      </c>
      <c r="J186" s="75" t="str">
        <f t="shared" si="6"/>
        <v>No</v>
      </c>
      <c r="K186" s="80" t="str">
        <f t="shared" si="7"/>
        <v>✔️</v>
      </c>
      <c r="L186" s="56" t="str">
        <f t="shared" si="8"/>
        <v>Normal</v>
      </c>
      <c r="N186" s="2" cm="1">
        <f t="array" ref="N186">SUMPRODUCT(
  (B$4:B186=B186)*
  (E$4:E186="Depósito")*
  (F$4:F186&gt;=15000)*
  (F$4:F186&lt;=49999)*
  (D$4:D186&gt;=D186-5)*
  (D$4:D186&lt;=D186)
)</f>
        <v>0</v>
      </c>
      <c r="O186" s="2" cm="1">
        <f t="array" ref="O186">IF(AND(E186="Retiro",F186&gt;=40000,G186="Sucursal"),
  SUMPRODUCT(
    (B$4:B186=B186)*
    (E$4:E186="Depósito")*
    (F$4:F186&gt;=F186*0.8)*
    (D$4:D186&gt;=D186-3)*
    (D$4:D186&lt;D186)
  ),0)</f>
        <v>0</v>
      </c>
    </row>
    <row r="187" spans="1:15" ht="18" customHeight="1" x14ac:dyDescent="0.25">
      <c r="A187" s="59">
        <v>184</v>
      </c>
      <c r="B187" s="59">
        <v>11</v>
      </c>
      <c r="C187" s="55" t="s">
        <v>21</v>
      </c>
      <c r="D187" s="55" t="s">
        <v>699</v>
      </c>
      <c r="E187" s="55" t="s">
        <v>490</v>
      </c>
      <c r="F187" s="77">
        <v>45000</v>
      </c>
      <c r="G187" s="55" t="s">
        <v>494</v>
      </c>
      <c r="H187" s="55" t="s">
        <v>700</v>
      </c>
      <c r="I187" s="76">
        <f>VLOOKUP(B187,'Caso 2 (Socios)'!$A$4:$G$73,4,FALSE)</f>
        <v>7800</v>
      </c>
      <c r="J187" s="75" t="str">
        <f t="shared" si="6"/>
        <v>Sí</v>
      </c>
      <c r="K187" s="80" t="str">
        <f t="shared" si="7"/>
        <v>⚠️</v>
      </c>
      <c r="L187" s="56" t="str">
        <f t="shared" si="8"/>
        <v>Inconsistencia de perfil</v>
      </c>
      <c r="N187" s="2" cm="1">
        <f t="array" ref="N187">SUMPRODUCT(
  (B$4:B187=B187)*
  (E$4:E187="Depósito")*
  (F$4:F187&gt;=15000)*
  (F$4:F187&lt;=49999)*
  (D$4:D187&gt;=D187-5)*
  (D$4:D187&lt;=D187)
)</f>
        <v>1</v>
      </c>
      <c r="O187" s="2" cm="1">
        <f t="array" ref="O187">IF(AND(E187="Retiro",F187&gt;=40000,G187="Sucursal"),
  SUMPRODUCT(
    (B$4:B187=B187)*
    (E$4:E187="Depósito")*
    (F$4:F187&gt;=F187*0.8)*
    (D$4:D187&gt;=D187-3)*
    (D$4:D187&lt;D187)
  ),0)</f>
        <v>0</v>
      </c>
    </row>
    <row r="188" spans="1:15" ht="18" customHeight="1" x14ac:dyDescent="0.25">
      <c r="A188" s="75">
        <v>185</v>
      </c>
      <c r="B188" s="75">
        <v>11</v>
      </c>
      <c r="C188" s="56" t="s">
        <v>21</v>
      </c>
      <c r="D188" s="56" t="s">
        <v>701</v>
      </c>
      <c r="E188" s="56" t="s">
        <v>490</v>
      </c>
      <c r="F188" s="76">
        <v>44000</v>
      </c>
      <c r="G188" s="56" t="s">
        <v>494</v>
      </c>
      <c r="H188" s="56" t="s">
        <v>700</v>
      </c>
      <c r="I188" s="76">
        <f>VLOOKUP(B188,'Caso 2 (Socios)'!$A$4:$G$73,4,FALSE)</f>
        <v>7800</v>
      </c>
      <c r="J188" s="75" t="str">
        <f t="shared" si="6"/>
        <v>Sí</v>
      </c>
      <c r="K188" s="80" t="str">
        <f t="shared" si="7"/>
        <v>⚠️</v>
      </c>
      <c r="L188" s="56" t="str">
        <f t="shared" si="8"/>
        <v>Inconsistencia de perfil</v>
      </c>
      <c r="N188" s="2" cm="1">
        <f t="array" ref="N188">SUMPRODUCT(
  (B$4:B188=B188)*
  (E$4:E188="Depósito")*
  (F$4:F188&gt;=15000)*
  (F$4:F188&lt;=49999)*
  (D$4:D188&gt;=D188-5)*
  (D$4:D188&lt;=D188)
)</f>
        <v>2</v>
      </c>
      <c r="O188" s="2" cm="1">
        <f t="array" ref="O188">IF(AND(E188="Retiro",F188&gt;=40000,G188="Sucursal"),
  SUMPRODUCT(
    (B$4:B188=B188)*
    (E$4:E188="Depósito")*
    (F$4:F188&gt;=F188*0.8)*
    (D$4:D188&gt;=D188-3)*
    (D$4:D188&lt;D188)
  ),0)</f>
        <v>0</v>
      </c>
    </row>
    <row r="189" spans="1:15" ht="18" customHeight="1" x14ac:dyDescent="0.25">
      <c r="A189" s="59">
        <v>186</v>
      </c>
      <c r="B189" s="59">
        <v>12</v>
      </c>
      <c r="C189" s="55" t="s">
        <v>22</v>
      </c>
      <c r="D189" s="55" t="s">
        <v>702</v>
      </c>
      <c r="E189" s="55" t="s">
        <v>490</v>
      </c>
      <c r="F189" s="77">
        <v>14000</v>
      </c>
      <c r="G189" s="55" t="s">
        <v>494</v>
      </c>
      <c r="H189" s="55" t="s">
        <v>529</v>
      </c>
      <c r="I189" s="76">
        <f>VLOOKUP(B189,'Caso 2 (Socios)'!$A$4:$G$73,4,FALSE)</f>
        <v>14500</v>
      </c>
      <c r="J189" s="75" t="str">
        <f t="shared" si="6"/>
        <v>No</v>
      </c>
      <c r="K189" s="80" t="str">
        <f t="shared" si="7"/>
        <v>✔️</v>
      </c>
      <c r="L189" s="56" t="str">
        <f t="shared" si="8"/>
        <v>Normal</v>
      </c>
      <c r="N189" s="2" cm="1">
        <f t="array" ref="N189">SUMPRODUCT(
  (B$4:B189=B189)*
  (E$4:E189="Depósito")*
  (F$4:F189&gt;=15000)*
  (F$4:F189&lt;=49999)*
  (D$4:D189&gt;=D189-5)*
  (D$4:D189&lt;=D189)
)</f>
        <v>1</v>
      </c>
      <c r="O189" s="2" cm="1">
        <f t="array" ref="O189">IF(AND(E189="Retiro",F189&gt;=40000,G189="Sucursal"),
  SUMPRODUCT(
    (B$4:B189=B189)*
    (E$4:E189="Depósito")*
    (F$4:F189&gt;=F189*0.8)*
    (D$4:D189&gt;=D189-3)*
    (D$4:D189&lt;D189)
  ),0)</f>
        <v>0</v>
      </c>
    </row>
    <row r="190" spans="1:15" ht="18" customHeight="1" x14ac:dyDescent="0.25">
      <c r="A190" s="75">
        <v>187</v>
      </c>
      <c r="B190" s="75">
        <v>5</v>
      </c>
      <c r="C190" s="56" t="s">
        <v>16</v>
      </c>
      <c r="D190" s="56" t="s">
        <v>703</v>
      </c>
      <c r="E190" s="56" t="s">
        <v>548</v>
      </c>
      <c r="F190" s="76">
        <v>70000</v>
      </c>
      <c r="G190" s="56" t="s">
        <v>494</v>
      </c>
      <c r="H190" s="56" t="s">
        <v>704</v>
      </c>
      <c r="I190" s="76">
        <f>VLOOKUP(B190,'Caso 2 (Socios)'!$A$4:$G$73,4,FALSE)</f>
        <v>15000</v>
      </c>
      <c r="J190" s="75" t="str">
        <f t="shared" si="6"/>
        <v>Sí</v>
      </c>
      <c r="K190" s="80" t="str">
        <f t="shared" si="7"/>
        <v>⚠️</v>
      </c>
      <c r="L190" s="56" t="str">
        <f t="shared" si="8"/>
        <v>Monto alto + Inconsistencia</v>
      </c>
      <c r="N190" s="2" cm="1">
        <f t="array" ref="N190">SUMPRODUCT(
  (B$4:B190=B190)*
  (E$4:E190="Depósito")*
  (F$4:F190&gt;=15000)*
  (F$4:F190&lt;=49999)*
  (D$4:D190&gt;=D190-5)*
  (D$4:D190&lt;=D190)
)</f>
        <v>2</v>
      </c>
      <c r="O190" s="2" cm="1">
        <f t="array" ref="O190">IF(AND(E190="Retiro",F190&gt;=40000,G190="Sucursal"),
  SUMPRODUCT(
    (B$4:B190=B190)*
    (E$4:E190="Depósito")*
    (F$4:F190&gt;=F190*0.8)*
    (D$4:D190&gt;=D190-3)*
    (D$4:D190&lt;D190)
  ),0)</f>
        <v>0</v>
      </c>
    </row>
    <row r="191" spans="1:15" ht="18" customHeight="1" x14ac:dyDescent="0.25">
      <c r="A191" s="59">
        <v>188</v>
      </c>
      <c r="B191" s="59">
        <v>13</v>
      </c>
      <c r="C191" s="55" t="s">
        <v>23</v>
      </c>
      <c r="D191" s="55" t="s">
        <v>705</v>
      </c>
      <c r="E191" s="55" t="s">
        <v>490</v>
      </c>
      <c r="F191" s="77">
        <v>52000</v>
      </c>
      <c r="G191" s="55" t="s">
        <v>494</v>
      </c>
      <c r="H191" s="55" t="s">
        <v>706</v>
      </c>
      <c r="I191" s="76">
        <f>VLOOKUP(B191,'Caso 2 (Socios)'!$A$4:$G$73,4,FALSE)</f>
        <v>9000</v>
      </c>
      <c r="J191" s="75" t="str">
        <f t="shared" si="6"/>
        <v>Sí</v>
      </c>
      <c r="K191" s="80" t="str">
        <f t="shared" si="7"/>
        <v>⚠️</v>
      </c>
      <c r="L191" s="56" t="str">
        <f t="shared" si="8"/>
        <v>Monto alto + Inconsistencia</v>
      </c>
      <c r="N191" s="2" cm="1">
        <f t="array" ref="N191">SUMPRODUCT(
  (B$4:B191=B191)*
  (E$4:E191="Depósito")*
  (F$4:F191&gt;=15000)*
  (F$4:F191&lt;=49999)*
  (D$4:D191&gt;=D191-5)*
  (D$4:D191&lt;=D191)
)</f>
        <v>0</v>
      </c>
      <c r="O191" s="2" cm="1">
        <f t="array" ref="O191">IF(AND(E191="Retiro",F191&gt;=40000,G191="Sucursal"),
  SUMPRODUCT(
    (B$4:B191=B191)*
    (E$4:E191="Depósito")*
    (F$4:F191&gt;=F191*0.8)*
    (D$4:D191&gt;=D191-3)*
    (D$4:D191&lt;D191)
  ),0)</f>
        <v>0</v>
      </c>
    </row>
    <row r="192" spans="1:15" ht="18" customHeight="1" x14ac:dyDescent="0.25">
      <c r="A192" s="75">
        <v>189</v>
      </c>
      <c r="B192" s="75">
        <v>14</v>
      </c>
      <c r="C192" s="56" t="s">
        <v>24</v>
      </c>
      <c r="D192" s="56" t="s">
        <v>707</v>
      </c>
      <c r="E192" s="56" t="s">
        <v>490</v>
      </c>
      <c r="F192" s="76">
        <v>13000</v>
      </c>
      <c r="G192" s="56" t="s">
        <v>491</v>
      </c>
      <c r="H192" s="56" t="s">
        <v>497</v>
      </c>
      <c r="I192" s="76">
        <f>VLOOKUP(B192,'Caso 2 (Socios)'!$A$4:$G$73,4,FALSE)</f>
        <v>13000</v>
      </c>
      <c r="J192" s="75" t="str">
        <f t="shared" si="6"/>
        <v>No</v>
      </c>
      <c r="K192" s="80" t="str">
        <f t="shared" si="7"/>
        <v>✔️</v>
      </c>
      <c r="L192" s="56" t="str">
        <f t="shared" si="8"/>
        <v>Normal</v>
      </c>
      <c r="N192" s="2" cm="1">
        <f t="array" ref="N192">SUMPRODUCT(
  (B$4:B192=B192)*
  (E$4:E192="Depósito")*
  (F$4:F192&gt;=15000)*
  (F$4:F192&lt;=49999)*
  (D$4:D192&gt;=D192-5)*
  (D$4:D192&lt;=D192)
)</f>
        <v>0</v>
      </c>
      <c r="O192" s="2" cm="1">
        <f t="array" ref="O192">IF(AND(E192="Retiro",F192&gt;=40000,G192="Sucursal"),
  SUMPRODUCT(
    (B$4:B192=B192)*
    (E$4:E192="Depósito")*
    (F$4:F192&gt;=F192*0.8)*
    (D$4:D192&gt;=D192-3)*
    (D$4:D192&lt;D192)
  ),0)</f>
        <v>0</v>
      </c>
    </row>
    <row r="193" spans="1:15" ht="18" customHeight="1" x14ac:dyDescent="0.25">
      <c r="A193" s="59">
        <v>190</v>
      </c>
      <c r="B193" s="59">
        <v>15</v>
      </c>
      <c r="C193" s="55" t="s">
        <v>25</v>
      </c>
      <c r="D193" s="55" t="s">
        <v>708</v>
      </c>
      <c r="E193" s="55" t="s">
        <v>490</v>
      </c>
      <c r="F193" s="77">
        <v>18000</v>
      </c>
      <c r="G193" s="55" t="s">
        <v>494</v>
      </c>
      <c r="H193" s="55" t="s">
        <v>517</v>
      </c>
      <c r="I193" s="76">
        <f>VLOOKUP(B193,'Caso 2 (Socios)'!$A$4:$G$73,4,FALSE)</f>
        <v>18000</v>
      </c>
      <c r="J193" s="75" t="str">
        <f t="shared" si="6"/>
        <v>No</v>
      </c>
      <c r="K193" s="80" t="str">
        <f t="shared" si="7"/>
        <v>✔️</v>
      </c>
      <c r="L193" s="56" t="str">
        <f t="shared" si="8"/>
        <v>Normal</v>
      </c>
      <c r="N193" s="2" cm="1">
        <f t="array" ref="N193">SUMPRODUCT(
  (B$4:B193=B193)*
  (E$4:E193="Depósito")*
  (F$4:F193&gt;=15000)*
  (F$4:F193&lt;=49999)*
  (D$4:D193&gt;=D193-5)*
  (D$4:D193&lt;=D193)
)</f>
        <v>1</v>
      </c>
      <c r="O193" s="2" cm="1">
        <f t="array" ref="O193">IF(AND(E193="Retiro",F193&gt;=40000,G193="Sucursal"),
  SUMPRODUCT(
    (B$4:B193=B193)*
    (E$4:E193="Depósito")*
    (F$4:F193&gt;=F193*0.8)*
    (D$4:D193&gt;=D193-3)*
    (D$4:D193&lt;D193)
  ),0)</f>
        <v>0</v>
      </c>
    </row>
    <row r="194" spans="1:15" ht="18" customHeight="1" x14ac:dyDescent="0.25">
      <c r="A194" s="75">
        <v>191</v>
      </c>
      <c r="B194" s="75">
        <v>17</v>
      </c>
      <c r="C194" s="56" t="s">
        <v>27</v>
      </c>
      <c r="D194" s="56" t="s">
        <v>709</v>
      </c>
      <c r="E194" s="56" t="s">
        <v>490</v>
      </c>
      <c r="F194" s="76">
        <v>120000</v>
      </c>
      <c r="G194" s="56" t="s">
        <v>494</v>
      </c>
      <c r="H194" s="56" t="s">
        <v>617</v>
      </c>
      <c r="I194" s="76">
        <f>VLOOKUP(B194,'Caso 2 (Socios)'!$A$4:$G$73,4,FALSE)</f>
        <v>16000</v>
      </c>
      <c r="J194" s="75" t="str">
        <f t="shared" si="6"/>
        <v>Sí</v>
      </c>
      <c r="K194" s="80" t="str">
        <f t="shared" si="7"/>
        <v>⚠️</v>
      </c>
      <c r="L194" s="56" t="str">
        <f t="shared" si="8"/>
        <v>Monto alto + Inconsistencia</v>
      </c>
      <c r="N194" s="2" cm="1">
        <f t="array" ref="N194">SUMPRODUCT(
  (B$4:B194=B194)*
  (E$4:E194="Depósito")*
  (F$4:F194&gt;=15000)*
  (F$4:F194&lt;=49999)*
  (D$4:D194&gt;=D194-5)*
  (D$4:D194&lt;=D194)
)</f>
        <v>1</v>
      </c>
      <c r="O194" s="2" cm="1">
        <f t="array" ref="O194">IF(AND(E194="Retiro",F194&gt;=40000,G194="Sucursal"),
  SUMPRODUCT(
    (B$4:B194=B194)*
    (E$4:E194="Depósito")*
    (F$4:F194&gt;=F194*0.8)*
    (D$4:D194&gt;=D194-3)*
    (D$4:D194&lt;D194)
  ),0)</f>
        <v>0</v>
      </c>
    </row>
    <row r="195" spans="1:15" ht="18" customHeight="1" x14ac:dyDescent="0.25">
      <c r="A195" s="59">
        <v>192</v>
      </c>
      <c r="B195" s="59">
        <v>18</v>
      </c>
      <c r="C195" s="55" t="s">
        <v>28</v>
      </c>
      <c r="D195" s="55" t="s">
        <v>710</v>
      </c>
      <c r="E195" s="55" t="s">
        <v>490</v>
      </c>
      <c r="F195" s="77">
        <v>7200</v>
      </c>
      <c r="G195" s="55" t="s">
        <v>491</v>
      </c>
      <c r="H195" s="55" t="s">
        <v>497</v>
      </c>
      <c r="I195" s="76">
        <f>VLOOKUP(B195,'Caso 2 (Socios)'!$A$4:$G$73,4,FALSE)</f>
        <v>7500</v>
      </c>
      <c r="J195" s="75" t="str">
        <f t="shared" si="6"/>
        <v>No</v>
      </c>
      <c r="K195" s="80" t="str">
        <f t="shared" si="7"/>
        <v>✔️</v>
      </c>
      <c r="L195" s="56" t="str">
        <f t="shared" si="8"/>
        <v>Normal</v>
      </c>
      <c r="N195" s="2" cm="1">
        <f t="array" ref="N195">SUMPRODUCT(
  (B$4:B195=B195)*
  (E$4:E195="Depósito")*
  (F$4:F195&gt;=15000)*
  (F$4:F195&lt;=49999)*
  (D$4:D195&gt;=D195-5)*
  (D$4:D195&lt;=D195)
)</f>
        <v>0</v>
      </c>
      <c r="O195" s="2" cm="1">
        <f t="array" ref="O195">IF(AND(E195="Retiro",F195&gt;=40000,G195="Sucursal"),
  SUMPRODUCT(
    (B$4:B195=B195)*
    (E$4:E195="Depósito")*
    (F$4:F195&gt;=F195*0.8)*
    (D$4:D195&gt;=D195-3)*
    (D$4:D195&lt;D195)
  ),0)</f>
        <v>0</v>
      </c>
    </row>
    <row r="196" spans="1:15" ht="18" customHeight="1" x14ac:dyDescent="0.25">
      <c r="A196" s="75">
        <v>193</v>
      </c>
      <c r="B196" s="75">
        <v>23</v>
      </c>
      <c r="C196" s="56" t="s">
        <v>33</v>
      </c>
      <c r="D196" s="56" t="s">
        <v>711</v>
      </c>
      <c r="E196" s="56" t="s">
        <v>490</v>
      </c>
      <c r="F196" s="76">
        <v>22000</v>
      </c>
      <c r="G196" s="56" t="s">
        <v>494</v>
      </c>
      <c r="H196" s="56" t="s">
        <v>557</v>
      </c>
      <c r="I196" s="76">
        <f>VLOOKUP(B196,'Caso 2 (Socios)'!$A$4:$G$73,4,FALSE)</f>
        <v>21000</v>
      </c>
      <c r="J196" s="75" t="str">
        <f t="shared" si="6"/>
        <v>No</v>
      </c>
      <c r="K196" s="80" t="str">
        <f t="shared" si="7"/>
        <v>⚠️</v>
      </c>
      <c r="L196" s="56" t="str">
        <f t="shared" si="8"/>
        <v>Posible fraccionamiento</v>
      </c>
      <c r="N196" s="2" cm="1">
        <f t="array" ref="N196">SUMPRODUCT(
  (B$4:B196=B196)*
  (E$4:E196="Depósito")*
  (F$4:F196&gt;=15000)*
  (F$4:F196&lt;=49999)*
  (D$4:D196&gt;=D196-5)*
  (D$4:D196&lt;=D196)
)</f>
        <v>2</v>
      </c>
      <c r="O196" s="2" cm="1">
        <f t="array" ref="O196">IF(AND(E196="Retiro",F196&gt;=40000,G196="Sucursal"),
  SUMPRODUCT(
    (B$4:B196=B196)*
    (E$4:E196="Depósito")*
    (F$4:F196&gt;=F196*0.8)*
    (D$4:D196&gt;=D196-3)*
    (D$4:D196&lt;D196)
  ),0)</f>
        <v>0</v>
      </c>
    </row>
    <row r="197" spans="1:15" ht="18" customHeight="1" x14ac:dyDescent="0.25">
      <c r="A197" s="59">
        <v>194</v>
      </c>
      <c r="B197" s="59">
        <v>23</v>
      </c>
      <c r="C197" s="55" t="s">
        <v>33</v>
      </c>
      <c r="D197" s="55" t="s">
        <v>712</v>
      </c>
      <c r="E197" s="55" t="s">
        <v>548</v>
      </c>
      <c r="F197" s="77">
        <v>19500</v>
      </c>
      <c r="G197" s="55" t="s">
        <v>494</v>
      </c>
      <c r="H197" s="55" t="s">
        <v>600</v>
      </c>
      <c r="I197" s="76">
        <f>VLOOKUP(B197,'Caso 2 (Socios)'!$A$4:$G$73,4,FALSE)</f>
        <v>21000</v>
      </c>
      <c r="J197" s="75" t="str">
        <f t="shared" ref="J197:J260" si="9">IF(F197 &gt; I197*3, "Sí", "No")</f>
        <v>No</v>
      </c>
      <c r="K197" s="80" t="str">
        <f t="shared" ref="K197:K260" si="10">IF(L197="Normal", "✔️", "⚠️")</f>
        <v>✔️</v>
      </c>
      <c r="L197" s="56" t="str">
        <f t="shared" ref="L197:L260" si="11">IF(AND(E197="Depósito",F197&gt;=50000,F197&gt;I197*3,G197="Sucursal"),"Monto alto + Inconsistencia",IF(AND(E197="Retiro",F197&gt;=50000,F197&gt;I197*3,G197="Sucursal"),"Monto alto + Inconsistencia",IF(AND(E197="Depósito",F197&gt;=50000,G197="Sucursal"),"Monto alto en efectivo",IF(AND(E197="Retiro",F197&gt;=40000,G197="Sucursal",O197&gt;=1),"Retiro inmediato",IF(AND(E197="Depósito",F197&gt;I197*3,F197&gt;=15000),"Inconsistencia de perfil",IF(AND(E197="Depósito",F197&gt;=15000,F197&lt;=49999,N197&gt;=2),"Posible fraccionamiento","Normal"))))))</f>
        <v>Normal</v>
      </c>
      <c r="N197" s="2" cm="1">
        <f t="array" ref="N197">SUMPRODUCT(
  (B$4:B197=B197)*
  (E$4:E197="Depósito")*
  (F$4:F197&gt;=15000)*
  (F$4:F197&lt;=49999)*
  (D$4:D197&gt;=D197-5)*
  (D$4:D197&lt;=D197)
)</f>
        <v>2</v>
      </c>
      <c r="O197" s="2" cm="1">
        <f t="array" ref="O197">IF(AND(E197="Retiro",F197&gt;=40000,G197="Sucursal"),
  SUMPRODUCT(
    (B$4:B197=B197)*
    (E$4:E197="Depósito")*
    (F$4:F197&gt;=F197*0.8)*
    (D$4:D197&gt;=D197-3)*
    (D$4:D197&lt;D197)
  ),0)</f>
        <v>0</v>
      </c>
    </row>
    <row r="198" spans="1:15" ht="18" customHeight="1" x14ac:dyDescent="0.25">
      <c r="A198" s="75">
        <v>195</v>
      </c>
      <c r="B198" s="75">
        <v>1</v>
      </c>
      <c r="C198" s="56" t="s">
        <v>12</v>
      </c>
      <c r="D198" s="56" t="s">
        <v>713</v>
      </c>
      <c r="E198" s="56" t="s">
        <v>490</v>
      </c>
      <c r="F198" s="76">
        <v>8800</v>
      </c>
      <c r="G198" s="56" t="s">
        <v>491</v>
      </c>
      <c r="H198" s="56" t="s">
        <v>682</v>
      </c>
      <c r="I198" s="76">
        <f>VLOOKUP(B198,'Caso 2 (Socios)'!$A$4:$G$73,4,FALSE)</f>
        <v>8500</v>
      </c>
      <c r="J198" s="75" t="str">
        <f t="shared" si="9"/>
        <v>No</v>
      </c>
      <c r="K198" s="80" t="str">
        <f t="shared" si="10"/>
        <v>✔️</v>
      </c>
      <c r="L198" s="56" t="str">
        <f t="shared" si="11"/>
        <v>Normal</v>
      </c>
      <c r="N198" s="2" cm="1">
        <f t="array" ref="N198">SUMPRODUCT(
  (B$4:B198=B198)*
  (E$4:E198="Depósito")*
  (F$4:F198&gt;=15000)*
  (F$4:F198&lt;=49999)*
  (D$4:D198&gt;=D198-5)*
  (D$4:D198&lt;=D198)
)</f>
        <v>0</v>
      </c>
      <c r="O198" s="2" cm="1">
        <f t="array" ref="O198">IF(AND(E198="Retiro",F198&gt;=40000,G198="Sucursal"),
  SUMPRODUCT(
    (B$4:B198=B198)*
    (E$4:E198="Depósito")*
    (F$4:F198&gt;=F198*0.8)*
    (D$4:D198&gt;=D198-3)*
    (D$4:D198&lt;D198)
  ),0)</f>
        <v>0</v>
      </c>
    </row>
    <row r="199" spans="1:15" ht="18" customHeight="1" x14ac:dyDescent="0.25">
      <c r="A199" s="59">
        <v>196</v>
      </c>
      <c r="B199" s="59">
        <v>37</v>
      </c>
      <c r="C199" s="55" t="s">
        <v>46</v>
      </c>
      <c r="D199" s="55" t="s">
        <v>714</v>
      </c>
      <c r="E199" s="55" t="s">
        <v>490</v>
      </c>
      <c r="F199" s="77">
        <v>47000</v>
      </c>
      <c r="G199" s="55" t="s">
        <v>494</v>
      </c>
      <c r="H199" s="55" t="s">
        <v>553</v>
      </c>
      <c r="I199" s="76">
        <f>VLOOKUP(B199,'Caso 2 (Socios)'!$A$4:$G$73,4,FALSE)</f>
        <v>7900</v>
      </c>
      <c r="J199" s="75" t="str">
        <f t="shared" si="9"/>
        <v>Sí</v>
      </c>
      <c r="K199" s="80" t="str">
        <f t="shared" si="10"/>
        <v>⚠️</v>
      </c>
      <c r="L199" s="56" t="str">
        <f t="shared" si="11"/>
        <v>Inconsistencia de perfil</v>
      </c>
      <c r="N199" s="2" cm="1">
        <f t="array" ref="N199">SUMPRODUCT(
  (B$4:B199=B199)*
  (E$4:E199="Depósito")*
  (F$4:F199&gt;=15000)*
  (F$4:F199&lt;=49999)*
  (D$4:D199&gt;=D199-5)*
  (D$4:D199&lt;=D199)
)</f>
        <v>3</v>
      </c>
      <c r="O199" s="2" cm="1">
        <f t="array" ref="O199">IF(AND(E199="Retiro",F199&gt;=40000,G199="Sucursal"),
  SUMPRODUCT(
    (B$4:B199=B199)*
    (E$4:E199="Depósito")*
    (F$4:F199&gt;=F199*0.8)*
    (D$4:D199&gt;=D199-3)*
    (D$4:D199&lt;D199)
  ),0)</f>
        <v>0</v>
      </c>
    </row>
    <row r="200" spans="1:15" ht="18" customHeight="1" x14ac:dyDescent="0.25">
      <c r="A200" s="75">
        <v>197</v>
      </c>
      <c r="B200" s="75">
        <v>37</v>
      </c>
      <c r="C200" s="56" t="s">
        <v>46</v>
      </c>
      <c r="D200" s="56" t="s">
        <v>715</v>
      </c>
      <c r="E200" s="56" t="s">
        <v>490</v>
      </c>
      <c r="F200" s="76">
        <v>46500</v>
      </c>
      <c r="G200" s="56" t="s">
        <v>494</v>
      </c>
      <c r="H200" s="56" t="s">
        <v>553</v>
      </c>
      <c r="I200" s="76">
        <f>VLOOKUP(B200,'Caso 2 (Socios)'!$A$4:$G$73,4,FALSE)</f>
        <v>7900</v>
      </c>
      <c r="J200" s="75" t="str">
        <f t="shared" si="9"/>
        <v>Sí</v>
      </c>
      <c r="K200" s="80" t="str">
        <f t="shared" si="10"/>
        <v>⚠️</v>
      </c>
      <c r="L200" s="56" t="str">
        <f t="shared" si="11"/>
        <v>Inconsistencia de perfil</v>
      </c>
      <c r="N200" s="2" cm="1">
        <f t="array" ref="N200">SUMPRODUCT(
  (B$4:B200=B200)*
  (E$4:E200="Depósito")*
  (F$4:F200&gt;=15000)*
  (F$4:F200&lt;=49999)*
  (D$4:D200&gt;=D200-5)*
  (D$4:D200&lt;=D200)
)</f>
        <v>4</v>
      </c>
      <c r="O200" s="2" cm="1">
        <f t="array" ref="O200">IF(AND(E200="Retiro",F200&gt;=40000,G200="Sucursal"),
  SUMPRODUCT(
    (B$4:B200=B200)*
    (E$4:E200="Depósito")*
    (F$4:F200&gt;=F200*0.8)*
    (D$4:D200&gt;=D200-3)*
    (D$4:D200&lt;D200)
  ),0)</f>
        <v>0</v>
      </c>
    </row>
    <row r="201" spans="1:15" ht="18" customHeight="1" x14ac:dyDescent="0.25">
      <c r="A201" s="59">
        <v>198</v>
      </c>
      <c r="B201" s="59">
        <v>29</v>
      </c>
      <c r="C201" s="55" t="s">
        <v>39</v>
      </c>
      <c r="D201" s="55" t="s">
        <v>716</v>
      </c>
      <c r="E201" s="55" t="s">
        <v>490</v>
      </c>
      <c r="F201" s="77">
        <v>17000</v>
      </c>
      <c r="G201" s="55" t="s">
        <v>494</v>
      </c>
      <c r="H201" s="55" t="s">
        <v>517</v>
      </c>
      <c r="I201" s="76">
        <f>VLOOKUP(B201,'Caso 2 (Socios)'!$A$4:$G$73,4,FALSE)</f>
        <v>17500</v>
      </c>
      <c r="J201" s="75" t="str">
        <f t="shared" si="9"/>
        <v>No</v>
      </c>
      <c r="K201" s="80" t="str">
        <f t="shared" si="10"/>
        <v>✔️</v>
      </c>
      <c r="L201" s="56" t="str">
        <f t="shared" si="11"/>
        <v>Normal</v>
      </c>
      <c r="N201" s="2" cm="1">
        <f t="array" ref="N201">SUMPRODUCT(
  (B$4:B201=B201)*
  (E$4:E201="Depósito")*
  (F$4:F201&gt;=15000)*
  (F$4:F201&lt;=49999)*
  (D$4:D201&gt;=D201-5)*
  (D$4:D201&lt;=D201)
)</f>
        <v>1</v>
      </c>
      <c r="O201" s="2" cm="1">
        <f t="array" ref="O201">IF(AND(E201="Retiro",F201&gt;=40000,G201="Sucursal"),
  SUMPRODUCT(
    (B$4:B201=B201)*
    (E$4:E201="Depósito")*
    (F$4:F201&gt;=F201*0.8)*
    (D$4:D201&gt;=D201-3)*
    (D$4:D201&lt;D201)
  ),0)</f>
        <v>0</v>
      </c>
    </row>
    <row r="202" spans="1:15" ht="18" customHeight="1" x14ac:dyDescent="0.25">
      <c r="A202" s="75">
        <v>199</v>
      </c>
      <c r="B202" s="75">
        <v>35</v>
      </c>
      <c r="C202" s="56" t="s">
        <v>44</v>
      </c>
      <c r="D202" s="56" t="s">
        <v>717</v>
      </c>
      <c r="E202" s="56" t="s">
        <v>490</v>
      </c>
      <c r="F202" s="76">
        <v>85000</v>
      </c>
      <c r="G202" s="56" t="s">
        <v>494</v>
      </c>
      <c r="H202" s="56" t="s">
        <v>574</v>
      </c>
      <c r="I202" s="76">
        <f>VLOOKUP(B202,'Caso 2 (Socios)'!$A$4:$G$73,4,FALSE)</f>
        <v>30000</v>
      </c>
      <c r="J202" s="75" t="str">
        <f t="shared" si="9"/>
        <v>No</v>
      </c>
      <c r="K202" s="80" t="str">
        <f t="shared" si="10"/>
        <v>⚠️</v>
      </c>
      <c r="L202" s="56" t="str">
        <f t="shared" si="11"/>
        <v>Monto alto en efectivo</v>
      </c>
      <c r="N202" s="2" cm="1">
        <f t="array" ref="N202">SUMPRODUCT(
  (B$4:B202=B202)*
  (E$4:E202="Depósito")*
  (F$4:F202&gt;=15000)*
  (F$4:F202&lt;=49999)*
  (D$4:D202&gt;=D202-5)*
  (D$4:D202&lt;=D202)
)</f>
        <v>0</v>
      </c>
      <c r="O202" s="2" cm="1">
        <f t="array" ref="O202">IF(AND(E202="Retiro",F202&gt;=40000,G202="Sucursal"),
  SUMPRODUCT(
    (B$4:B202=B202)*
    (E$4:E202="Depósito")*
    (F$4:F202&gt;=F202*0.8)*
    (D$4:D202&gt;=D202-3)*
    (D$4:D202&lt;D202)
  ),0)</f>
        <v>0</v>
      </c>
    </row>
    <row r="203" spans="1:15" ht="18" customHeight="1" x14ac:dyDescent="0.25">
      <c r="A203" s="59">
        <v>200</v>
      </c>
      <c r="B203" s="59">
        <v>4</v>
      </c>
      <c r="C203" s="55" t="s">
        <v>15</v>
      </c>
      <c r="D203" s="55" t="s">
        <v>718</v>
      </c>
      <c r="E203" s="55" t="s">
        <v>490</v>
      </c>
      <c r="F203" s="77">
        <v>9500</v>
      </c>
      <c r="G203" s="55" t="s">
        <v>491</v>
      </c>
      <c r="H203" s="55" t="s">
        <v>497</v>
      </c>
      <c r="I203" s="76">
        <f>VLOOKUP(B203,'Caso 2 (Socios)'!$A$4:$G$73,4,FALSE)</f>
        <v>9800</v>
      </c>
      <c r="J203" s="75" t="str">
        <f t="shared" si="9"/>
        <v>No</v>
      </c>
      <c r="K203" s="80" t="str">
        <f t="shared" si="10"/>
        <v>✔️</v>
      </c>
      <c r="L203" s="56" t="str">
        <f t="shared" si="11"/>
        <v>Normal</v>
      </c>
      <c r="N203" s="2" cm="1">
        <f t="array" ref="N203">SUMPRODUCT(
  (B$4:B203=B203)*
  (E$4:E203="Depósito")*
  (F$4:F203&gt;=15000)*
  (F$4:F203&lt;=49999)*
  (D$4:D203&gt;=D203-5)*
  (D$4:D203&lt;=D203)
)</f>
        <v>0</v>
      </c>
      <c r="O203" s="2" cm="1">
        <f t="array" ref="O203">IF(AND(E203="Retiro",F203&gt;=40000,G203="Sucursal"),
  SUMPRODUCT(
    (B$4:B203=B203)*
    (E$4:E203="Depósito")*
    (F$4:F203&gt;=F203*0.8)*
    (D$4:D203&gt;=D203-3)*
    (D$4:D203&lt;D203)
  ),0)</f>
        <v>0</v>
      </c>
    </row>
    <row r="204" spans="1:15" ht="18" customHeight="1" x14ac:dyDescent="0.25">
      <c r="A204" s="75">
        <v>201</v>
      </c>
      <c r="B204" s="75">
        <v>7</v>
      </c>
      <c r="C204" s="56" t="s">
        <v>18</v>
      </c>
      <c r="D204" s="56" t="s">
        <v>719</v>
      </c>
      <c r="E204" s="56" t="s">
        <v>490</v>
      </c>
      <c r="F204" s="76">
        <v>28000</v>
      </c>
      <c r="G204" s="56" t="s">
        <v>494</v>
      </c>
      <c r="H204" s="56" t="s">
        <v>570</v>
      </c>
      <c r="I204" s="76">
        <f>VLOOKUP(B204,'Caso 2 (Socios)'!$A$4:$G$73,4,FALSE)</f>
        <v>28000</v>
      </c>
      <c r="J204" s="75" t="str">
        <f t="shared" si="9"/>
        <v>No</v>
      </c>
      <c r="K204" s="80" t="str">
        <f t="shared" si="10"/>
        <v>✔️</v>
      </c>
      <c r="L204" s="56" t="str">
        <f t="shared" si="11"/>
        <v>Normal</v>
      </c>
      <c r="N204" s="2" cm="1">
        <f t="array" ref="N204">SUMPRODUCT(
  (B$4:B204=B204)*
  (E$4:E204="Depósito")*
  (F$4:F204&gt;=15000)*
  (F$4:F204&lt;=49999)*
  (D$4:D204&gt;=D204-5)*
  (D$4:D204&lt;=D204)
)</f>
        <v>1</v>
      </c>
      <c r="O204" s="2" cm="1">
        <f t="array" ref="O204">IF(AND(E204="Retiro",F204&gt;=40000,G204="Sucursal"),
  SUMPRODUCT(
    (B$4:B204=B204)*
    (E$4:E204="Depósito")*
    (F$4:F204&gt;=F204*0.8)*
    (D$4:D204&gt;=D204-3)*
    (D$4:D204&lt;D204)
  ),0)</f>
        <v>0</v>
      </c>
    </row>
    <row r="205" spans="1:15" ht="18" customHeight="1" x14ac:dyDescent="0.25">
      <c r="A205" s="59">
        <v>202</v>
      </c>
      <c r="B205" s="59">
        <v>58</v>
      </c>
      <c r="C205" s="55" t="s">
        <v>470</v>
      </c>
      <c r="D205" s="55" t="s">
        <v>720</v>
      </c>
      <c r="E205" s="55" t="s">
        <v>490</v>
      </c>
      <c r="F205" s="77">
        <v>110000</v>
      </c>
      <c r="G205" s="55" t="s">
        <v>494</v>
      </c>
      <c r="H205" s="55" t="s">
        <v>721</v>
      </c>
      <c r="I205" s="76">
        <f>VLOOKUP(B205,'Caso 2 (Socios)'!$A$4:$G$73,4,FALSE)</f>
        <v>25000</v>
      </c>
      <c r="J205" s="75" t="str">
        <f t="shared" si="9"/>
        <v>Sí</v>
      </c>
      <c r="K205" s="80" t="str">
        <f t="shared" si="10"/>
        <v>⚠️</v>
      </c>
      <c r="L205" s="56" t="str">
        <f t="shared" si="11"/>
        <v>Monto alto + Inconsistencia</v>
      </c>
      <c r="N205" s="2" cm="1">
        <f t="array" ref="N205">SUMPRODUCT(
  (B$4:B205=B205)*
  (E$4:E205="Depósito")*
  (F$4:F205&gt;=15000)*
  (F$4:F205&lt;=49999)*
  (D$4:D205&gt;=D205-5)*
  (D$4:D205&lt;=D205)
)</f>
        <v>0</v>
      </c>
      <c r="O205" s="2" cm="1">
        <f t="array" ref="O205">IF(AND(E205="Retiro",F205&gt;=40000,G205="Sucursal"),
  SUMPRODUCT(
    (B$4:B205=B205)*
    (E$4:E205="Depósito")*
    (F$4:F205&gt;=F205*0.8)*
    (D$4:D205&gt;=D205-3)*
    (D$4:D205&lt;D205)
  ),0)</f>
        <v>0</v>
      </c>
    </row>
    <row r="206" spans="1:15" ht="18" customHeight="1" x14ac:dyDescent="0.25">
      <c r="A206" s="75">
        <v>203</v>
      </c>
      <c r="B206" s="75">
        <v>40</v>
      </c>
      <c r="C206" s="56" t="s">
        <v>49</v>
      </c>
      <c r="D206" s="56" t="s">
        <v>722</v>
      </c>
      <c r="E206" s="56" t="s">
        <v>490</v>
      </c>
      <c r="F206" s="76">
        <v>11000</v>
      </c>
      <c r="G206" s="56" t="s">
        <v>491</v>
      </c>
      <c r="H206" s="56" t="s">
        <v>497</v>
      </c>
      <c r="I206" s="76">
        <f>VLOOKUP(B206,'Caso 2 (Socios)'!$A$4:$G$73,4,FALSE)</f>
        <v>11200</v>
      </c>
      <c r="J206" s="75" t="str">
        <f t="shared" si="9"/>
        <v>No</v>
      </c>
      <c r="K206" s="80" t="str">
        <f t="shared" si="10"/>
        <v>✔️</v>
      </c>
      <c r="L206" s="56" t="str">
        <f t="shared" si="11"/>
        <v>Normal</v>
      </c>
      <c r="N206" s="2" cm="1">
        <f t="array" ref="N206">SUMPRODUCT(
  (B$4:B206=B206)*
  (E$4:E206="Depósito")*
  (F$4:F206&gt;=15000)*
  (F$4:F206&lt;=49999)*
  (D$4:D206&gt;=D206-5)*
  (D$4:D206&lt;=D206)
)</f>
        <v>0</v>
      </c>
      <c r="O206" s="2" cm="1">
        <f t="array" ref="O206">IF(AND(E206="Retiro",F206&gt;=40000,G206="Sucursal"),
  SUMPRODUCT(
    (B$4:B206=B206)*
    (E$4:E206="Depósito")*
    (F$4:F206&gt;=F206*0.8)*
    (D$4:D206&gt;=D206-3)*
    (D$4:D206&lt;D206)
  ),0)</f>
        <v>0</v>
      </c>
    </row>
    <row r="207" spans="1:15" ht="18" customHeight="1" x14ac:dyDescent="0.25">
      <c r="A207" s="59">
        <v>204</v>
      </c>
      <c r="B207" s="59">
        <v>41</v>
      </c>
      <c r="C207" s="55" t="s">
        <v>50</v>
      </c>
      <c r="D207" s="55" t="s">
        <v>723</v>
      </c>
      <c r="E207" s="55" t="s">
        <v>490</v>
      </c>
      <c r="F207" s="77">
        <v>16500</v>
      </c>
      <c r="G207" s="55" t="s">
        <v>494</v>
      </c>
      <c r="H207" s="55" t="s">
        <v>517</v>
      </c>
      <c r="I207" s="76">
        <f>VLOOKUP(B207,'Caso 2 (Socios)'!$A$4:$G$73,4,FALSE)</f>
        <v>16800</v>
      </c>
      <c r="J207" s="75" t="str">
        <f t="shared" si="9"/>
        <v>No</v>
      </c>
      <c r="K207" s="80" t="str">
        <f t="shared" si="10"/>
        <v>⚠️</v>
      </c>
      <c r="L207" s="56" t="str">
        <f t="shared" si="11"/>
        <v>Posible fraccionamiento</v>
      </c>
      <c r="N207" s="2" cm="1">
        <f t="array" ref="N207">SUMPRODUCT(
  (B$4:B207=B207)*
  (E$4:E207="Depósito")*
  (F$4:F207&gt;=15000)*
  (F$4:F207&lt;=49999)*
  (D$4:D207&gt;=D207-5)*
  (D$4:D207&lt;=D207)
)</f>
        <v>2</v>
      </c>
      <c r="O207" s="2" cm="1">
        <f t="array" ref="O207">IF(AND(E207="Retiro",F207&gt;=40000,G207="Sucursal"),
  SUMPRODUCT(
    (B$4:B207=B207)*
    (E$4:E207="Depósito")*
    (F$4:F207&gt;=F207*0.8)*
    (D$4:D207&gt;=D207-3)*
    (D$4:D207&lt;D207)
  ),0)</f>
        <v>0</v>
      </c>
    </row>
    <row r="208" spans="1:15" ht="18" customHeight="1" x14ac:dyDescent="0.25">
      <c r="A208" s="75">
        <v>205</v>
      </c>
      <c r="B208" s="75">
        <v>11</v>
      </c>
      <c r="C208" s="56" t="s">
        <v>21</v>
      </c>
      <c r="D208" s="56" t="s">
        <v>724</v>
      </c>
      <c r="E208" s="56" t="s">
        <v>548</v>
      </c>
      <c r="F208" s="76">
        <v>40000</v>
      </c>
      <c r="G208" s="56" t="s">
        <v>494</v>
      </c>
      <c r="H208" s="56" t="s">
        <v>704</v>
      </c>
      <c r="I208" s="76">
        <f>VLOOKUP(B208,'Caso 2 (Socios)'!$A$4:$G$73,4,FALSE)</f>
        <v>7800</v>
      </c>
      <c r="J208" s="75" t="str">
        <f t="shared" si="9"/>
        <v>Sí</v>
      </c>
      <c r="K208" s="80" t="str">
        <f t="shared" si="10"/>
        <v>⚠️</v>
      </c>
      <c r="L208" s="56" t="str">
        <f t="shared" si="11"/>
        <v>Retiro inmediato</v>
      </c>
      <c r="N208" s="2" cm="1">
        <f t="array" ref="N208">SUMPRODUCT(
  (B$4:B208=B208)*
  (E$4:E208="Depósito")*
  (F$4:F208&gt;=15000)*
  (F$4:F208&lt;=49999)*
  (D$4:D208&gt;=D208-5)*
  (D$4:D208&lt;=D208)
)</f>
        <v>2</v>
      </c>
      <c r="O208" s="2" cm="1">
        <f t="array" ref="O208">IF(AND(E208="Retiro",F208&gt;=40000,G208="Sucursal"),
  SUMPRODUCT(
    (B$4:B208=B208)*
    (E$4:E208="Depósito")*
    (F$4:F208&gt;=F208*0.8)*
    (D$4:D208&gt;=D208-3)*
    (D$4:D208&lt;D208)
  ),0)</f>
        <v>2</v>
      </c>
    </row>
    <row r="209" spans="1:15" ht="18" customHeight="1" x14ac:dyDescent="0.25">
      <c r="A209" s="59">
        <v>206</v>
      </c>
      <c r="B209" s="59">
        <v>21</v>
      </c>
      <c r="C209" s="55" t="s">
        <v>31</v>
      </c>
      <c r="D209" s="55" t="s">
        <v>725</v>
      </c>
      <c r="E209" s="55" t="s">
        <v>490</v>
      </c>
      <c r="F209" s="77">
        <v>55000</v>
      </c>
      <c r="G209" s="55" t="s">
        <v>494</v>
      </c>
      <c r="H209" s="55" t="s">
        <v>541</v>
      </c>
      <c r="I209" s="76">
        <f>VLOOKUP(B209,'Caso 2 (Socios)'!$A$4:$G$73,4,FALSE)</f>
        <v>10500</v>
      </c>
      <c r="J209" s="75" t="str">
        <f t="shared" si="9"/>
        <v>Sí</v>
      </c>
      <c r="K209" s="80" t="str">
        <f t="shared" si="10"/>
        <v>⚠️</v>
      </c>
      <c r="L209" s="56" t="str">
        <f t="shared" si="11"/>
        <v>Monto alto + Inconsistencia</v>
      </c>
      <c r="N209" s="2" cm="1">
        <f t="array" ref="N209">SUMPRODUCT(
  (B$4:B209=B209)*
  (E$4:E209="Depósito")*
  (F$4:F209&gt;=15000)*
  (F$4:F209&lt;=49999)*
  (D$4:D209&gt;=D209-5)*
  (D$4:D209&lt;=D209)
)</f>
        <v>0</v>
      </c>
      <c r="O209" s="2" cm="1">
        <f t="array" ref="O209">IF(AND(E209="Retiro",F209&gt;=40000,G209="Sucursal"),
  SUMPRODUCT(
    (B$4:B209=B209)*
    (E$4:E209="Depósito")*
    (F$4:F209&gt;=F209*0.8)*
    (D$4:D209&gt;=D209-3)*
    (D$4:D209&lt;D209)
  ),0)</f>
        <v>0</v>
      </c>
    </row>
    <row r="210" spans="1:15" ht="18" customHeight="1" x14ac:dyDescent="0.25">
      <c r="A210" s="75">
        <v>207</v>
      </c>
      <c r="B210" s="75">
        <v>45</v>
      </c>
      <c r="C210" s="56" t="s">
        <v>54</v>
      </c>
      <c r="D210" s="56" t="s">
        <v>726</v>
      </c>
      <c r="E210" s="56" t="s">
        <v>490</v>
      </c>
      <c r="F210" s="76">
        <v>24000</v>
      </c>
      <c r="G210" s="56" t="s">
        <v>491</v>
      </c>
      <c r="H210" s="56" t="s">
        <v>544</v>
      </c>
      <c r="I210" s="76">
        <f>VLOOKUP(B210,'Caso 2 (Socios)'!$A$4:$G$73,4,FALSE)</f>
        <v>24000</v>
      </c>
      <c r="J210" s="75" t="str">
        <f t="shared" si="9"/>
        <v>No</v>
      </c>
      <c r="K210" s="80" t="str">
        <f t="shared" si="10"/>
        <v>⚠️</v>
      </c>
      <c r="L210" s="56" t="str">
        <f t="shared" si="11"/>
        <v>Posible fraccionamiento</v>
      </c>
      <c r="N210" s="2" cm="1">
        <f t="array" ref="N210">SUMPRODUCT(
  (B$4:B210=B210)*
  (E$4:E210="Depósito")*
  (F$4:F210&gt;=15000)*
  (F$4:F210&lt;=49999)*
  (D$4:D210&gt;=D210-5)*
  (D$4:D210&lt;=D210)
)</f>
        <v>4</v>
      </c>
      <c r="O210" s="2" cm="1">
        <f t="array" ref="O210">IF(AND(E210="Retiro",F210&gt;=40000,G210="Sucursal"),
  SUMPRODUCT(
    (B$4:B210=B210)*
    (E$4:E210="Depósito")*
    (F$4:F210&gt;=F210*0.8)*
    (D$4:D210&gt;=D210-3)*
    (D$4:D210&lt;D210)
  ),0)</f>
        <v>0</v>
      </c>
    </row>
    <row r="211" spans="1:15" ht="18" customHeight="1" x14ac:dyDescent="0.25">
      <c r="A211" s="59">
        <v>208</v>
      </c>
      <c r="B211" s="59">
        <v>49</v>
      </c>
      <c r="C211" s="55" t="s">
        <v>58</v>
      </c>
      <c r="D211" s="55" t="s">
        <v>727</v>
      </c>
      <c r="E211" s="55" t="s">
        <v>490</v>
      </c>
      <c r="F211" s="77">
        <v>92000</v>
      </c>
      <c r="G211" s="55" t="s">
        <v>494</v>
      </c>
      <c r="H211" s="55" t="s">
        <v>574</v>
      </c>
      <c r="I211" s="76">
        <f>VLOOKUP(B211,'Caso 2 (Socios)'!$A$4:$G$73,4,FALSE)</f>
        <v>27000</v>
      </c>
      <c r="J211" s="75" t="str">
        <f t="shared" si="9"/>
        <v>Sí</v>
      </c>
      <c r="K211" s="80" t="str">
        <f t="shared" si="10"/>
        <v>⚠️</v>
      </c>
      <c r="L211" s="56" t="str">
        <f t="shared" si="11"/>
        <v>Monto alto + Inconsistencia</v>
      </c>
      <c r="N211" s="2" cm="1">
        <f t="array" ref="N211">SUMPRODUCT(
  (B$4:B211=B211)*
  (E$4:E211="Depósito")*
  (F$4:F211&gt;=15000)*
  (F$4:F211&lt;=49999)*
  (D$4:D211&gt;=D211-5)*
  (D$4:D211&lt;=D211)
)</f>
        <v>3</v>
      </c>
      <c r="O211" s="2" cm="1">
        <f t="array" ref="O211">IF(AND(E211="Retiro",F211&gt;=40000,G211="Sucursal"),
  SUMPRODUCT(
    (B$4:B211=B211)*
    (E$4:E211="Depósito")*
    (F$4:F211&gt;=F211*0.8)*
    (D$4:D211&gt;=D211-3)*
    (D$4:D211&lt;D211)
  ),0)</f>
        <v>0</v>
      </c>
    </row>
    <row r="212" spans="1:15" ht="18" customHeight="1" x14ac:dyDescent="0.25">
      <c r="A212" s="75">
        <v>209</v>
      </c>
      <c r="B212" s="75">
        <v>2</v>
      </c>
      <c r="C212" s="56" t="s">
        <v>13</v>
      </c>
      <c r="D212" s="56" t="s">
        <v>728</v>
      </c>
      <c r="E212" s="56" t="s">
        <v>490</v>
      </c>
      <c r="F212" s="76">
        <v>13500</v>
      </c>
      <c r="G212" s="56" t="s">
        <v>494</v>
      </c>
      <c r="H212" s="56" t="s">
        <v>529</v>
      </c>
      <c r="I212" s="76">
        <f>VLOOKUP(B212,'Caso 2 (Socios)'!$A$4:$G$73,4,FALSE)</f>
        <v>12000</v>
      </c>
      <c r="J212" s="75" t="str">
        <f t="shared" si="9"/>
        <v>No</v>
      </c>
      <c r="K212" s="80" t="str">
        <f t="shared" si="10"/>
        <v>✔️</v>
      </c>
      <c r="L212" s="56" t="str">
        <f t="shared" si="11"/>
        <v>Normal</v>
      </c>
      <c r="N212" s="2" cm="1">
        <f t="array" ref="N212">SUMPRODUCT(
  (B$4:B212=B212)*
  (E$4:E212="Depósito")*
  (F$4:F212&gt;=15000)*
  (F$4:F212&lt;=49999)*
  (D$4:D212&gt;=D212-5)*
  (D$4:D212&lt;=D212)
)</f>
        <v>0</v>
      </c>
      <c r="O212" s="2" cm="1">
        <f t="array" ref="O212">IF(AND(E212="Retiro",F212&gt;=40000,G212="Sucursal"),
  SUMPRODUCT(
    (B$4:B212=B212)*
    (E$4:E212="Depósito")*
    (F$4:F212&gt;=F212*0.8)*
    (D$4:D212&gt;=D212-3)*
    (D$4:D212&lt;D212)
  ),0)</f>
        <v>0</v>
      </c>
    </row>
    <row r="213" spans="1:15" ht="18" customHeight="1" x14ac:dyDescent="0.25">
      <c r="A213" s="59">
        <v>210</v>
      </c>
      <c r="B213" s="59">
        <v>15</v>
      </c>
      <c r="C213" s="55" t="s">
        <v>25</v>
      </c>
      <c r="D213" s="55" t="s">
        <v>729</v>
      </c>
      <c r="E213" s="55" t="s">
        <v>490</v>
      </c>
      <c r="F213" s="77">
        <v>18500</v>
      </c>
      <c r="G213" s="55" t="s">
        <v>491</v>
      </c>
      <c r="H213" s="55" t="s">
        <v>517</v>
      </c>
      <c r="I213" s="76">
        <f>VLOOKUP(B213,'Caso 2 (Socios)'!$A$4:$G$73,4,FALSE)</f>
        <v>18000</v>
      </c>
      <c r="J213" s="75" t="str">
        <f t="shared" si="9"/>
        <v>No</v>
      </c>
      <c r="K213" s="80" t="str">
        <f t="shared" si="10"/>
        <v>⚠️</v>
      </c>
      <c r="L213" s="56" t="str">
        <f t="shared" si="11"/>
        <v>Posible fraccionamiento</v>
      </c>
      <c r="N213" s="2" cm="1">
        <f t="array" ref="N213">SUMPRODUCT(
  (B$4:B213=B213)*
  (E$4:E213="Depósito")*
  (F$4:F213&gt;=15000)*
  (F$4:F213&lt;=49999)*
  (D$4:D213&gt;=D213-5)*
  (D$4:D213&lt;=D213)
)</f>
        <v>2</v>
      </c>
      <c r="O213" s="2" cm="1">
        <f t="array" ref="O213">IF(AND(E213="Retiro",F213&gt;=40000,G213="Sucursal"),
  SUMPRODUCT(
    (B$4:B213=B213)*
    (E$4:E213="Depósito")*
    (F$4:F213&gt;=F213*0.8)*
    (D$4:D213&gt;=D213-3)*
    (D$4:D213&lt;D213)
  ),0)</f>
        <v>0</v>
      </c>
    </row>
    <row r="214" spans="1:15" ht="18" customHeight="1" x14ac:dyDescent="0.25">
      <c r="A214" s="75">
        <v>211</v>
      </c>
      <c r="B214" s="75">
        <v>5</v>
      </c>
      <c r="C214" s="56" t="s">
        <v>16</v>
      </c>
      <c r="D214" s="56" t="s">
        <v>730</v>
      </c>
      <c r="E214" s="56" t="s">
        <v>490</v>
      </c>
      <c r="F214" s="76">
        <v>43000</v>
      </c>
      <c r="G214" s="56" t="s">
        <v>494</v>
      </c>
      <c r="H214" s="56" t="s">
        <v>517</v>
      </c>
      <c r="I214" s="76">
        <f>VLOOKUP(B214,'Caso 2 (Socios)'!$A$4:$G$73,4,FALSE)</f>
        <v>15000</v>
      </c>
      <c r="J214" s="75" t="str">
        <f t="shared" si="9"/>
        <v>No</v>
      </c>
      <c r="K214" s="80" t="str">
        <f t="shared" si="10"/>
        <v>⚠️</v>
      </c>
      <c r="L214" s="56" t="str">
        <f t="shared" si="11"/>
        <v>Posible fraccionamiento</v>
      </c>
      <c r="N214" s="2" cm="1">
        <f t="array" ref="N214">SUMPRODUCT(
  (B$4:B214=B214)*
  (E$4:E214="Depósito")*
  (F$4:F214&gt;=15000)*
  (F$4:F214&lt;=49999)*
  (D$4:D214&gt;=D214-5)*
  (D$4:D214&lt;=D214)
)</f>
        <v>3</v>
      </c>
      <c r="O214" s="2" cm="1">
        <f t="array" ref="O214">IF(AND(E214="Retiro",F214&gt;=40000,G214="Sucursal"),
  SUMPRODUCT(
    (B$4:B214=B214)*
    (E$4:E214="Depósito")*
    (F$4:F214&gt;=F214*0.8)*
    (D$4:D214&gt;=D214-3)*
    (D$4:D214&lt;D214)
  ),0)</f>
        <v>0</v>
      </c>
    </row>
    <row r="215" spans="1:15" ht="18" customHeight="1" x14ac:dyDescent="0.25">
      <c r="A215" s="59">
        <v>212</v>
      </c>
      <c r="B215" s="59">
        <v>5</v>
      </c>
      <c r="C215" s="55" t="s">
        <v>16</v>
      </c>
      <c r="D215" s="55" t="s">
        <v>731</v>
      </c>
      <c r="E215" s="55" t="s">
        <v>490</v>
      </c>
      <c r="F215" s="77">
        <v>41000</v>
      </c>
      <c r="G215" s="55" t="s">
        <v>494</v>
      </c>
      <c r="H215" s="55" t="s">
        <v>517</v>
      </c>
      <c r="I215" s="76">
        <f>VLOOKUP(B215,'Caso 2 (Socios)'!$A$4:$G$73,4,FALSE)</f>
        <v>15000</v>
      </c>
      <c r="J215" s="75" t="str">
        <f t="shared" si="9"/>
        <v>No</v>
      </c>
      <c r="K215" s="80" t="str">
        <f t="shared" si="10"/>
        <v>⚠️</v>
      </c>
      <c r="L215" s="56" t="str">
        <f t="shared" si="11"/>
        <v>Posible fraccionamiento</v>
      </c>
      <c r="N215" s="2" cm="1">
        <f t="array" ref="N215">SUMPRODUCT(
  (B$4:B215=B215)*
  (E$4:E215="Depósito")*
  (F$4:F215&gt;=15000)*
  (F$4:F215&lt;=49999)*
  (D$4:D215&gt;=D215-5)*
  (D$4:D215&lt;=D215)
)</f>
        <v>4</v>
      </c>
      <c r="O215" s="2" cm="1">
        <f t="array" ref="O215">IF(AND(E215="Retiro",F215&gt;=40000,G215="Sucursal"),
  SUMPRODUCT(
    (B$4:B215=B215)*
    (E$4:E215="Depósito")*
    (F$4:F215&gt;=F215*0.8)*
    (D$4:D215&gt;=D215-3)*
    (D$4:D215&lt;D215)
  ),0)</f>
        <v>0</v>
      </c>
    </row>
    <row r="216" spans="1:15" ht="18" customHeight="1" x14ac:dyDescent="0.25">
      <c r="A216" s="75">
        <v>213</v>
      </c>
      <c r="B216" s="75">
        <v>28</v>
      </c>
      <c r="C216" s="56" t="s">
        <v>38</v>
      </c>
      <c r="D216" s="56" t="s">
        <v>732</v>
      </c>
      <c r="E216" s="56" t="s">
        <v>490</v>
      </c>
      <c r="F216" s="76">
        <v>23000</v>
      </c>
      <c r="G216" s="56" t="s">
        <v>494</v>
      </c>
      <c r="H216" s="56" t="s">
        <v>544</v>
      </c>
      <c r="I216" s="76">
        <f>VLOOKUP(B216,'Caso 2 (Socios)'!$A$4:$G$73,4,FALSE)</f>
        <v>23000</v>
      </c>
      <c r="J216" s="75" t="str">
        <f t="shared" si="9"/>
        <v>No</v>
      </c>
      <c r="K216" s="80" t="str">
        <f t="shared" si="10"/>
        <v>⚠️</v>
      </c>
      <c r="L216" s="56" t="str">
        <f t="shared" si="11"/>
        <v>Posible fraccionamiento</v>
      </c>
      <c r="N216" s="2" cm="1">
        <f t="array" ref="N216">SUMPRODUCT(
  (B$4:B216=B216)*
  (E$4:E216="Depósito")*
  (F$4:F216&gt;=15000)*
  (F$4:F216&lt;=49999)*
  (D$4:D216&gt;=D216-5)*
  (D$4:D216&lt;=D216)
)</f>
        <v>3</v>
      </c>
      <c r="O216" s="2" cm="1">
        <f t="array" ref="O216">IF(AND(E216="Retiro",F216&gt;=40000,G216="Sucursal"),
  SUMPRODUCT(
    (B$4:B216=B216)*
    (E$4:E216="Depósito")*
    (F$4:F216&gt;=F216*0.8)*
    (D$4:D216&gt;=D216-3)*
    (D$4:D216&lt;D216)
  ),0)</f>
        <v>0</v>
      </c>
    </row>
    <row r="217" spans="1:15" ht="18" customHeight="1" x14ac:dyDescent="0.25">
      <c r="A217" s="59">
        <v>214</v>
      </c>
      <c r="B217" s="59">
        <v>35</v>
      </c>
      <c r="C217" s="55" t="s">
        <v>44</v>
      </c>
      <c r="D217" s="55" t="s">
        <v>733</v>
      </c>
      <c r="E217" s="55" t="s">
        <v>548</v>
      </c>
      <c r="F217" s="77">
        <v>80000</v>
      </c>
      <c r="G217" s="55" t="s">
        <v>494</v>
      </c>
      <c r="H217" s="55" t="s">
        <v>734</v>
      </c>
      <c r="I217" s="76">
        <f>VLOOKUP(B217,'Caso 2 (Socios)'!$A$4:$G$73,4,FALSE)</f>
        <v>30000</v>
      </c>
      <c r="J217" s="75" t="str">
        <f t="shared" si="9"/>
        <v>No</v>
      </c>
      <c r="K217" s="80" t="str">
        <f t="shared" si="10"/>
        <v>⚠️</v>
      </c>
      <c r="L217" s="56" t="str">
        <f t="shared" si="11"/>
        <v>Retiro inmediato</v>
      </c>
      <c r="N217" s="2" cm="1">
        <f t="array" ref="N217">SUMPRODUCT(
  (B$4:B217=B217)*
  (E$4:E217="Depósito")*
  (F$4:F217&gt;=15000)*
  (F$4:F217&lt;=49999)*
  (D$4:D217&gt;=D217-5)*
  (D$4:D217&lt;=D217)
)</f>
        <v>0</v>
      </c>
      <c r="O217" s="2" cm="1">
        <f t="array" ref="O217">IF(AND(E217="Retiro",F217&gt;=40000,G217="Sucursal"),
  SUMPRODUCT(
    (B$4:B217=B217)*
    (E$4:E217="Depósito")*
    (F$4:F217&gt;=F217*0.8)*
    (D$4:D217&gt;=D217-3)*
    (D$4:D217&lt;D217)
  ),0)</f>
        <v>1</v>
      </c>
    </row>
    <row r="218" spans="1:15" ht="18" customHeight="1" x14ac:dyDescent="0.25">
      <c r="A218" s="75">
        <v>215</v>
      </c>
      <c r="B218" s="75">
        <v>8</v>
      </c>
      <c r="C218" s="56" t="s">
        <v>10</v>
      </c>
      <c r="D218" s="56" t="s">
        <v>735</v>
      </c>
      <c r="E218" s="56" t="s">
        <v>490</v>
      </c>
      <c r="F218" s="76">
        <v>6200</v>
      </c>
      <c r="G218" s="56" t="s">
        <v>491</v>
      </c>
      <c r="H218" s="56" t="s">
        <v>513</v>
      </c>
      <c r="I218" s="76">
        <f>VLOOKUP(B218,'Caso 2 (Socios)'!$A$4:$G$73,4,FALSE)</f>
        <v>6000</v>
      </c>
      <c r="J218" s="75" t="str">
        <f t="shared" si="9"/>
        <v>No</v>
      </c>
      <c r="K218" s="80" t="str">
        <f t="shared" si="10"/>
        <v>✔️</v>
      </c>
      <c r="L218" s="56" t="str">
        <f t="shared" si="11"/>
        <v>Normal</v>
      </c>
      <c r="N218" s="2" cm="1">
        <f t="array" ref="N218">SUMPRODUCT(
  (B$4:B218=B218)*
  (E$4:E218="Depósito")*
  (F$4:F218&gt;=15000)*
  (F$4:F218&lt;=49999)*
  (D$4:D218&gt;=D218-5)*
  (D$4:D218&lt;=D218)
)</f>
        <v>0</v>
      </c>
      <c r="O218" s="2" cm="1">
        <f t="array" ref="O218">IF(AND(E218="Retiro",F218&gt;=40000,G218="Sucursal"),
  SUMPRODUCT(
    (B$4:B218=B218)*
    (E$4:E218="Depósito")*
    (F$4:F218&gt;=F218*0.8)*
    (D$4:D218&gt;=D218-3)*
    (D$4:D218&lt;D218)
  ),0)</f>
        <v>0</v>
      </c>
    </row>
    <row r="219" spans="1:15" ht="18" customHeight="1" x14ac:dyDescent="0.25">
      <c r="A219" s="59">
        <v>216</v>
      </c>
      <c r="B219" s="59">
        <v>17</v>
      </c>
      <c r="C219" s="55" t="s">
        <v>27</v>
      </c>
      <c r="D219" s="55" t="s">
        <v>736</v>
      </c>
      <c r="E219" s="55" t="s">
        <v>490</v>
      </c>
      <c r="F219" s="77">
        <v>18000</v>
      </c>
      <c r="G219" s="55" t="s">
        <v>494</v>
      </c>
      <c r="H219" s="55" t="s">
        <v>529</v>
      </c>
      <c r="I219" s="76">
        <f>VLOOKUP(B219,'Caso 2 (Socios)'!$A$4:$G$73,4,FALSE)</f>
        <v>16000</v>
      </c>
      <c r="J219" s="75" t="str">
        <f t="shared" si="9"/>
        <v>No</v>
      </c>
      <c r="K219" s="80" t="str">
        <f t="shared" si="10"/>
        <v>⚠️</v>
      </c>
      <c r="L219" s="56" t="str">
        <f t="shared" si="11"/>
        <v>Posible fraccionamiento</v>
      </c>
      <c r="N219" s="2" cm="1">
        <f t="array" ref="N219">SUMPRODUCT(
  (B$4:B219=B219)*
  (E$4:E219="Depósito")*
  (F$4:F219&gt;=15000)*
  (F$4:F219&lt;=49999)*
  (D$4:D219&gt;=D219-5)*
  (D$4:D219&lt;=D219)
)</f>
        <v>2</v>
      </c>
      <c r="O219" s="2" cm="1">
        <f t="array" ref="O219">IF(AND(E219="Retiro",F219&gt;=40000,G219="Sucursal"),
  SUMPRODUCT(
    (B$4:B219=B219)*
    (E$4:E219="Depósito")*
    (F$4:F219&gt;=F219*0.8)*
    (D$4:D219&gt;=D219-3)*
    (D$4:D219&lt;D219)
  ),0)</f>
        <v>0</v>
      </c>
    </row>
    <row r="220" spans="1:15" ht="18" customHeight="1" x14ac:dyDescent="0.25">
      <c r="A220" s="75">
        <v>217</v>
      </c>
      <c r="B220" s="75">
        <v>37</v>
      </c>
      <c r="C220" s="56" t="s">
        <v>46</v>
      </c>
      <c r="D220" s="56" t="s">
        <v>737</v>
      </c>
      <c r="E220" s="56" t="s">
        <v>490</v>
      </c>
      <c r="F220" s="76">
        <v>8500</v>
      </c>
      <c r="G220" s="56" t="s">
        <v>494</v>
      </c>
      <c r="H220" s="56" t="s">
        <v>553</v>
      </c>
      <c r="I220" s="76">
        <f>VLOOKUP(B220,'Caso 2 (Socios)'!$A$4:$G$73,4,FALSE)</f>
        <v>7900</v>
      </c>
      <c r="J220" s="75" t="str">
        <f t="shared" si="9"/>
        <v>No</v>
      </c>
      <c r="K220" s="80" t="str">
        <f t="shared" si="10"/>
        <v>✔️</v>
      </c>
      <c r="L220" s="56" t="str">
        <f t="shared" si="11"/>
        <v>Normal</v>
      </c>
      <c r="N220" s="2" cm="1">
        <f t="array" ref="N220">SUMPRODUCT(
  (B$4:B220=B220)*
  (E$4:E220="Depósito")*
  (F$4:F220&gt;=15000)*
  (F$4:F220&lt;=49999)*
  (D$4:D220&gt;=D220-5)*
  (D$4:D220&lt;=D220)
)</f>
        <v>4</v>
      </c>
      <c r="O220" s="2" cm="1">
        <f t="array" ref="O220">IF(AND(E220="Retiro",F220&gt;=40000,G220="Sucursal"),
  SUMPRODUCT(
    (B$4:B220=B220)*
    (E$4:E220="Depósito")*
    (F$4:F220&gt;=F220*0.8)*
    (D$4:D220&gt;=D220-3)*
    (D$4:D220&lt;D220)
  ),0)</f>
        <v>0</v>
      </c>
    </row>
    <row r="221" spans="1:15" ht="18" customHeight="1" x14ac:dyDescent="0.25">
      <c r="A221" s="59">
        <v>218</v>
      </c>
      <c r="B221" s="59">
        <v>58</v>
      </c>
      <c r="C221" s="55" t="s">
        <v>470</v>
      </c>
      <c r="D221" s="55" t="s">
        <v>738</v>
      </c>
      <c r="E221" s="55" t="s">
        <v>490</v>
      </c>
      <c r="F221" s="77">
        <v>105000</v>
      </c>
      <c r="G221" s="55" t="s">
        <v>494</v>
      </c>
      <c r="H221" s="55" t="s">
        <v>739</v>
      </c>
      <c r="I221" s="76">
        <f>VLOOKUP(B221,'Caso 2 (Socios)'!$A$4:$G$73,4,FALSE)</f>
        <v>25000</v>
      </c>
      <c r="J221" s="75" t="str">
        <f t="shared" si="9"/>
        <v>Sí</v>
      </c>
      <c r="K221" s="80" t="str">
        <f t="shared" si="10"/>
        <v>⚠️</v>
      </c>
      <c r="L221" s="56" t="str">
        <f t="shared" si="11"/>
        <v>Monto alto + Inconsistencia</v>
      </c>
      <c r="N221" s="2" cm="1">
        <f t="array" ref="N221">SUMPRODUCT(
  (B$4:B221=B221)*
  (E$4:E221="Depósito")*
  (F$4:F221&gt;=15000)*
  (F$4:F221&lt;=49999)*
  (D$4:D221&gt;=D221-5)*
  (D$4:D221&lt;=D221)
)</f>
        <v>1</v>
      </c>
      <c r="O221" s="2" cm="1">
        <f t="array" ref="O221">IF(AND(E221="Retiro",F221&gt;=40000,G221="Sucursal"),
  SUMPRODUCT(
    (B$4:B221=B221)*
    (E$4:E221="Depósito")*
    (F$4:F221&gt;=F221*0.8)*
    (D$4:D221&gt;=D221-3)*
    (D$4:D221&lt;D221)
  ),0)</f>
        <v>0</v>
      </c>
    </row>
    <row r="222" spans="1:15" ht="18" customHeight="1" x14ac:dyDescent="0.25">
      <c r="A222" s="75">
        <v>219</v>
      </c>
      <c r="B222" s="75">
        <v>23</v>
      </c>
      <c r="C222" s="56" t="s">
        <v>33</v>
      </c>
      <c r="D222" s="56" t="s">
        <v>740</v>
      </c>
      <c r="E222" s="56" t="s">
        <v>490</v>
      </c>
      <c r="F222" s="76">
        <v>21000</v>
      </c>
      <c r="G222" s="56" t="s">
        <v>491</v>
      </c>
      <c r="H222" s="56" t="s">
        <v>557</v>
      </c>
      <c r="I222" s="76">
        <f>VLOOKUP(B222,'Caso 2 (Socios)'!$A$4:$G$73,4,FALSE)</f>
        <v>21000</v>
      </c>
      <c r="J222" s="75" t="str">
        <f t="shared" si="9"/>
        <v>No</v>
      </c>
      <c r="K222" s="80" t="str">
        <f t="shared" si="10"/>
        <v>⚠️</v>
      </c>
      <c r="L222" s="56" t="str">
        <f t="shared" si="11"/>
        <v>Posible fraccionamiento</v>
      </c>
      <c r="N222" s="2" cm="1">
        <f t="array" ref="N222">SUMPRODUCT(
  (B$4:B222=B222)*
  (E$4:E222="Depósito")*
  (F$4:F222&gt;=15000)*
  (F$4:F222&lt;=49999)*
  (D$4:D222&gt;=D222-5)*
  (D$4:D222&lt;=D222)
)</f>
        <v>4</v>
      </c>
      <c r="O222" s="2" cm="1">
        <f t="array" ref="O222">IF(AND(E222="Retiro",F222&gt;=40000,G222="Sucursal"),
  SUMPRODUCT(
    (B$4:B222=B222)*
    (E$4:E222="Depósito")*
    (F$4:F222&gt;=F222*0.8)*
    (D$4:D222&gt;=D222-3)*
    (D$4:D222&lt;D222)
  ),0)</f>
        <v>0</v>
      </c>
    </row>
    <row r="223" spans="1:15" ht="18" customHeight="1" x14ac:dyDescent="0.25">
      <c r="A223" s="59">
        <v>220</v>
      </c>
      <c r="B223" s="59">
        <v>1</v>
      </c>
      <c r="C223" s="55" t="s">
        <v>12</v>
      </c>
      <c r="D223" s="55" t="s">
        <v>741</v>
      </c>
      <c r="E223" s="55" t="s">
        <v>490</v>
      </c>
      <c r="F223" s="77">
        <v>7800</v>
      </c>
      <c r="G223" s="55" t="s">
        <v>494</v>
      </c>
      <c r="H223" s="55" t="s">
        <v>682</v>
      </c>
      <c r="I223" s="76">
        <f>VLOOKUP(B223,'Caso 2 (Socios)'!$A$4:$G$73,4,FALSE)</f>
        <v>8500</v>
      </c>
      <c r="J223" s="75" t="str">
        <f t="shared" si="9"/>
        <v>No</v>
      </c>
      <c r="K223" s="80" t="str">
        <f t="shared" si="10"/>
        <v>✔️</v>
      </c>
      <c r="L223" s="56" t="str">
        <f t="shared" si="11"/>
        <v>Normal</v>
      </c>
      <c r="N223" s="2" cm="1">
        <f t="array" ref="N223">SUMPRODUCT(
  (B$4:B223=B223)*
  (E$4:E223="Depósito")*
  (F$4:F223&gt;=15000)*
  (F$4:F223&lt;=49999)*
  (D$4:D223&gt;=D223-5)*
  (D$4:D223&lt;=D223)
)</f>
        <v>0</v>
      </c>
      <c r="O223" s="2" cm="1">
        <f t="array" ref="O223">IF(AND(E223="Retiro",F223&gt;=40000,G223="Sucursal"),
  SUMPRODUCT(
    (B$4:B223=B223)*
    (E$4:E223="Depósito")*
    (F$4:F223&gt;=F223*0.8)*
    (D$4:D223&gt;=D223-3)*
    (D$4:D223&lt;D223)
  ),0)</f>
        <v>0</v>
      </c>
    </row>
    <row r="224" spans="1:15" ht="18" customHeight="1" x14ac:dyDescent="0.25">
      <c r="A224" s="75">
        <v>221</v>
      </c>
      <c r="B224" s="75">
        <v>31</v>
      </c>
      <c r="C224" s="56" t="s">
        <v>41</v>
      </c>
      <c r="D224" s="56" t="s">
        <v>742</v>
      </c>
      <c r="E224" s="56" t="s">
        <v>490</v>
      </c>
      <c r="F224" s="76">
        <v>68000</v>
      </c>
      <c r="G224" s="56" t="s">
        <v>494</v>
      </c>
      <c r="H224" s="56" t="s">
        <v>653</v>
      </c>
      <c r="I224" s="76">
        <f>VLOOKUP(B224,'Caso 2 (Socios)'!$A$4:$G$73,4,FALSE)</f>
        <v>25000</v>
      </c>
      <c r="J224" s="75" t="str">
        <f t="shared" si="9"/>
        <v>No</v>
      </c>
      <c r="K224" s="80" t="str">
        <f t="shared" si="10"/>
        <v>⚠️</v>
      </c>
      <c r="L224" s="56" t="str">
        <f t="shared" si="11"/>
        <v>Monto alto en efectivo</v>
      </c>
      <c r="N224" s="2" cm="1">
        <f t="array" ref="N224">SUMPRODUCT(
  (B$4:B224=B224)*
  (E$4:E224="Depósito")*
  (F$4:F224&gt;=15000)*
  (F$4:F224&lt;=49999)*
  (D$4:D224&gt;=D224-5)*
  (D$4:D224&lt;=D224)
)</f>
        <v>0</v>
      </c>
      <c r="O224" s="2" cm="1">
        <f t="array" ref="O224">IF(AND(E224="Retiro",F224&gt;=40000,G224="Sucursal"),
  SUMPRODUCT(
    (B$4:B224=B224)*
    (E$4:E224="Depósito")*
    (F$4:F224&gt;=F224*0.8)*
    (D$4:D224&gt;=D224-3)*
    (D$4:D224&lt;D224)
  ),0)</f>
        <v>0</v>
      </c>
    </row>
    <row r="225" spans="1:15" ht="18" customHeight="1" x14ac:dyDescent="0.25">
      <c r="A225" s="59">
        <v>222</v>
      </c>
      <c r="B225" s="59">
        <v>4</v>
      </c>
      <c r="C225" s="55" t="s">
        <v>15</v>
      </c>
      <c r="D225" s="55" t="s">
        <v>743</v>
      </c>
      <c r="E225" s="55" t="s">
        <v>490</v>
      </c>
      <c r="F225" s="77">
        <v>9800</v>
      </c>
      <c r="G225" s="55" t="s">
        <v>491</v>
      </c>
      <c r="H225" s="55" t="s">
        <v>497</v>
      </c>
      <c r="I225" s="76">
        <f>VLOOKUP(B225,'Caso 2 (Socios)'!$A$4:$G$73,4,FALSE)</f>
        <v>9800</v>
      </c>
      <c r="J225" s="75" t="str">
        <f t="shared" si="9"/>
        <v>No</v>
      </c>
      <c r="K225" s="80" t="str">
        <f t="shared" si="10"/>
        <v>✔️</v>
      </c>
      <c r="L225" s="56" t="str">
        <f t="shared" si="11"/>
        <v>Normal</v>
      </c>
      <c r="N225" s="2" cm="1">
        <f t="array" ref="N225">SUMPRODUCT(
  (B$4:B225=B225)*
  (E$4:E225="Depósito")*
  (F$4:F225&gt;=15000)*
  (F$4:F225&lt;=49999)*
  (D$4:D225&gt;=D225-5)*
  (D$4:D225&lt;=D225)
)</f>
        <v>0</v>
      </c>
      <c r="O225" s="2" cm="1">
        <f t="array" ref="O225">IF(AND(E225="Retiro",F225&gt;=40000,G225="Sucursal"),
  SUMPRODUCT(
    (B$4:B225=B225)*
    (E$4:E225="Depósito")*
    (F$4:F225&gt;=F225*0.8)*
    (D$4:D225&gt;=D225-3)*
    (D$4:D225&lt;D225)
  ),0)</f>
        <v>0</v>
      </c>
    </row>
    <row r="226" spans="1:15" ht="18" customHeight="1" x14ac:dyDescent="0.25">
      <c r="A226" s="75">
        <v>223</v>
      </c>
      <c r="B226" s="75">
        <v>9</v>
      </c>
      <c r="C226" s="56" t="s">
        <v>19</v>
      </c>
      <c r="D226" s="56" t="s">
        <v>744</v>
      </c>
      <c r="E226" s="56" t="s">
        <v>548</v>
      </c>
      <c r="F226" s="76">
        <v>60000</v>
      </c>
      <c r="G226" s="56" t="s">
        <v>494</v>
      </c>
      <c r="H226" s="56" t="s">
        <v>745</v>
      </c>
      <c r="I226" s="76">
        <f>VLOOKUP(B226,'Caso 2 (Socios)'!$A$4:$G$73,4,FALSE)</f>
        <v>22000</v>
      </c>
      <c r="J226" s="75" t="str">
        <f t="shared" si="9"/>
        <v>No</v>
      </c>
      <c r="K226" s="80" t="str">
        <f t="shared" si="10"/>
        <v>✔️</v>
      </c>
      <c r="L226" s="56" t="str">
        <f t="shared" si="11"/>
        <v>Normal</v>
      </c>
      <c r="N226" s="2" cm="1">
        <f t="array" ref="N226">SUMPRODUCT(
  (B$4:B226=B226)*
  (E$4:E226="Depósito")*
  (F$4:F226&gt;=15000)*
  (F$4:F226&lt;=49999)*
  (D$4:D226&gt;=D226-5)*
  (D$4:D226&lt;=D226)
)</f>
        <v>0</v>
      </c>
      <c r="O226" s="2" cm="1">
        <f t="array" ref="O226">IF(AND(E226="Retiro",F226&gt;=40000,G226="Sucursal"),
  SUMPRODUCT(
    (B$4:B226=B226)*
    (E$4:E226="Depósito")*
    (F$4:F226&gt;=F226*0.8)*
    (D$4:D226&gt;=D226-3)*
    (D$4:D226&lt;D226)
  ),0)</f>
        <v>0</v>
      </c>
    </row>
    <row r="227" spans="1:15" ht="18" customHeight="1" x14ac:dyDescent="0.25">
      <c r="A227" s="59">
        <v>224</v>
      </c>
      <c r="B227" s="59">
        <v>14</v>
      </c>
      <c r="C227" s="55" t="s">
        <v>24</v>
      </c>
      <c r="D227" s="55" t="s">
        <v>746</v>
      </c>
      <c r="E227" s="55" t="s">
        <v>490</v>
      </c>
      <c r="F227" s="77">
        <v>13000</v>
      </c>
      <c r="G227" s="55" t="s">
        <v>494</v>
      </c>
      <c r="H227" s="55" t="s">
        <v>497</v>
      </c>
      <c r="I227" s="76">
        <f>VLOOKUP(B227,'Caso 2 (Socios)'!$A$4:$G$73,4,FALSE)</f>
        <v>13000</v>
      </c>
      <c r="J227" s="75" t="str">
        <f t="shared" si="9"/>
        <v>No</v>
      </c>
      <c r="K227" s="80" t="str">
        <f t="shared" si="10"/>
        <v>✔️</v>
      </c>
      <c r="L227" s="56" t="str">
        <f t="shared" si="11"/>
        <v>Normal</v>
      </c>
      <c r="N227" s="2" cm="1">
        <f t="array" ref="N227">SUMPRODUCT(
  (B$4:B227=B227)*
  (E$4:E227="Depósito")*
  (F$4:F227&gt;=15000)*
  (F$4:F227&lt;=49999)*
  (D$4:D227&gt;=D227-5)*
  (D$4:D227&lt;=D227)
)</f>
        <v>0</v>
      </c>
      <c r="O227" s="2" cm="1">
        <f t="array" ref="O227">IF(AND(E227="Retiro",F227&gt;=40000,G227="Sucursal"),
  SUMPRODUCT(
    (B$4:B227=B227)*
    (E$4:E227="Depósito")*
    (F$4:F227&gt;=F227*0.8)*
    (D$4:D227&gt;=D227-3)*
    (D$4:D227&lt;D227)
  ),0)</f>
        <v>0</v>
      </c>
    </row>
    <row r="228" spans="1:15" ht="18" customHeight="1" x14ac:dyDescent="0.25">
      <c r="A228" s="75">
        <v>225</v>
      </c>
      <c r="B228" s="75">
        <v>40</v>
      </c>
      <c r="C228" s="56" t="s">
        <v>49</v>
      </c>
      <c r="D228" s="56" t="s">
        <v>747</v>
      </c>
      <c r="E228" s="56" t="s">
        <v>490</v>
      </c>
      <c r="F228" s="76">
        <v>11200</v>
      </c>
      <c r="G228" s="56" t="s">
        <v>491</v>
      </c>
      <c r="H228" s="56" t="s">
        <v>497</v>
      </c>
      <c r="I228" s="76">
        <f>VLOOKUP(B228,'Caso 2 (Socios)'!$A$4:$G$73,4,FALSE)</f>
        <v>11200</v>
      </c>
      <c r="J228" s="75" t="str">
        <f t="shared" si="9"/>
        <v>No</v>
      </c>
      <c r="K228" s="80" t="str">
        <f t="shared" si="10"/>
        <v>✔️</v>
      </c>
      <c r="L228" s="56" t="str">
        <f t="shared" si="11"/>
        <v>Normal</v>
      </c>
      <c r="N228" s="2" cm="1">
        <f t="array" ref="N228">SUMPRODUCT(
  (B$4:B228=B228)*
  (E$4:E228="Depósito")*
  (F$4:F228&gt;=15000)*
  (F$4:F228&lt;=49999)*
  (D$4:D228&gt;=D228-5)*
  (D$4:D228&lt;=D228)
)</f>
        <v>0</v>
      </c>
      <c r="O228" s="2" cm="1">
        <f t="array" ref="O228">IF(AND(E228="Retiro",F228&gt;=40000,G228="Sucursal"),
  SUMPRODUCT(
    (B$4:B228=B228)*
    (E$4:E228="Depósito")*
    (F$4:F228&gt;=F228*0.8)*
    (D$4:D228&gt;=D228-3)*
    (D$4:D228&lt;D228)
  ),0)</f>
        <v>0</v>
      </c>
    </row>
    <row r="229" spans="1:15" ht="18" customHeight="1" x14ac:dyDescent="0.25">
      <c r="A229" s="59">
        <v>226</v>
      </c>
      <c r="B229" s="59">
        <v>49</v>
      </c>
      <c r="C229" s="55" t="s">
        <v>58</v>
      </c>
      <c r="D229" s="55" t="s">
        <v>748</v>
      </c>
      <c r="E229" s="55" t="s">
        <v>490</v>
      </c>
      <c r="F229" s="77">
        <v>27000</v>
      </c>
      <c r="G229" s="55" t="s">
        <v>494</v>
      </c>
      <c r="H229" s="55" t="s">
        <v>570</v>
      </c>
      <c r="I229" s="76">
        <f>VLOOKUP(B229,'Caso 2 (Socios)'!$A$4:$G$73,4,FALSE)</f>
        <v>27000</v>
      </c>
      <c r="J229" s="75" t="str">
        <f t="shared" si="9"/>
        <v>No</v>
      </c>
      <c r="K229" s="80" t="str">
        <f t="shared" si="10"/>
        <v>⚠️</v>
      </c>
      <c r="L229" s="56" t="str">
        <f t="shared" si="11"/>
        <v>Posible fraccionamiento</v>
      </c>
      <c r="N229" s="2" cm="1">
        <f t="array" ref="N229">SUMPRODUCT(
  (B$4:B229=B229)*
  (E$4:E229="Depósito")*
  (F$4:F229&gt;=15000)*
  (F$4:F229&lt;=49999)*
  (D$4:D229&gt;=D229-5)*
  (D$4:D229&lt;=D229)
)</f>
        <v>2</v>
      </c>
      <c r="O229" s="2" cm="1">
        <f t="array" ref="O229">IF(AND(E229="Retiro",F229&gt;=40000,G229="Sucursal"),
  SUMPRODUCT(
    (B$4:B229=B229)*
    (E$4:E229="Depósito")*
    (F$4:F229&gt;=F229*0.8)*
    (D$4:D229&gt;=D229-3)*
    (D$4:D229&lt;D229)
  ),0)</f>
        <v>0</v>
      </c>
    </row>
    <row r="230" spans="1:15" ht="18" customHeight="1" x14ac:dyDescent="0.25">
      <c r="A230" s="75">
        <v>227</v>
      </c>
      <c r="B230" s="75">
        <v>21</v>
      </c>
      <c r="C230" s="56" t="s">
        <v>31</v>
      </c>
      <c r="D230" s="56" t="s">
        <v>749</v>
      </c>
      <c r="E230" s="56" t="s">
        <v>490</v>
      </c>
      <c r="F230" s="76">
        <v>58000</v>
      </c>
      <c r="G230" s="56" t="s">
        <v>494</v>
      </c>
      <c r="H230" s="56" t="s">
        <v>541</v>
      </c>
      <c r="I230" s="76">
        <f>VLOOKUP(B230,'Caso 2 (Socios)'!$A$4:$G$73,4,FALSE)</f>
        <v>10500</v>
      </c>
      <c r="J230" s="75" t="str">
        <f t="shared" si="9"/>
        <v>Sí</v>
      </c>
      <c r="K230" s="80" t="str">
        <f t="shared" si="10"/>
        <v>⚠️</v>
      </c>
      <c r="L230" s="56" t="str">
        <f t="shared" si="11"/>
        <v>Monto alto + Inconsistencia</v>
      </c>
      <c r="N230" s="2" cm="1">
        <f t="array" ref="N230">SUMPRODUCT(
  (B$4:B230=B230)*
  (E$4:E230="Depósito")*
  (F$4:F230&gt;=15000)*
  (F$4:F230&lt;=49999)*
  (D$4:D230&gt;=D230-5)*
  (D$4:D230&lt;=D230)
)</f>
        <v>0</v>
      </c>
      <c r="O230" s="2" cm="1">
        <f t="array" ref="O230">IF(AND(E230="Retiro",F230&gt;=40000,G230="Sucursal"),
  SUMPRODUCT(
    (B$4:B230=B230)*
    (E$4:E230="Depósito")*
    (F$4:F230&gt;=F230*0.8)*
    (D$4:D230&gt;=D230-3)*
    (D$4:D230&lt;D230)
  ),0)</f>
        <v>0</v>
      </c>
    </row>
    <row r="231" spans="1:15" ht="18" customHeight="1" x14ac:dyDescent="0.25">
      <c r="A231" s="59">
        <v>228</v>
      </c>
      <c r="B231" s="59">
        <v>29</v>
      </c>
      <c r="C231" s="55" t="s">
        <v>39</v>
      </c>
      <c r="D231" s="55" t="s">
        <v>750</v>
      </c>
      <c r="E231" s="55" t="s">
        <v>490</v>
      </c>
      <c r="F231" s="77">
        <v>17800</v>
      </c>
      <c r="G231" s="55" t="s">
        <v>491</v>
      </c>
      <c r="H231" s="55" t="s">
        <v>517</v>
      </c>
      <c r="I231" s="76">
        <f>VLOOKUP(B231,'Caso 2 (Socios)'!$A$4:$G$73,4,FALSE)</f>
        <v>17500</v>
      </c>
      <c r="J231" s="75" t="str">
        <f t="shared" si="9"/>
        <v>No</v>
      </c>
      <c r="K231" s="80" t="str">
        <f t="shared" si="10"/>
        <v>✔️</v>
      </c>
      <c r="L231" s="56" t="str">
        <f t="shared" si="11"/>
        <v>Normal</v>
      </c>
      <c r="N231" s="2" cm="1">
        <f t="array" ref="N231">SUMPRODUCT(
  (B$4:B231=B231)*
  (E$4:E231="Depósito")*
  (F$4:F231&gt;=15000)*
  (F$4:F231&lt;=49999)*
  (D$4:D231&gt;=D231-5)*
  (D$4:D231&lt;=D231)
)</f>
        <v>1</v>
      </c>
      <c r="O231" s="2" cm="1">
        <f t="array" ref="O231">IF(AND(E231="Retiro",F231&gt;=40000,G231="Sucursal"),
  SUMPRODUCT(
    (B$4:B231=B231)*
    (E$4:E231="Depósito")*
    (F$4:F231&gt;=F231*0.8)*
    (D$4:D231&gt;=D231-3)*
    (D$4:D231&lt;D231)
  ),0)</f>
        <v>0</v>
      </c>
    </row>
    <row r="232" spans="1:15" ht="18" customHeight="1" x14ac:dyDescent="0.25">
      <c r="A232" s="75">
        <v>229</v>
      </c>
      <c r="B232" s="75">
        <v>35</v>
      </c>
      <c r="C232" s="56" t="s">
        <v>44</v>
      </c>
      <c r="D232" s="56" t="s">
        <v>751</v>
      </c>
      <c r="E232" s="56" t="s">
        <v>490</v>
      </c>
      <c r="F232" s="76">
        <v>88000</v>
      </c>
      <c r="G232" s="56" t="s">
        <v>494</v>
      </c>
      <c r="H232" s="56" t="s">
        <v>574</v>
      </c>
      <c r="I232" s="76">
        <f>VLOOKUP(B232,'Caso 2 (Socios)'!$A$4:$G$73,4,FALSE)</f>
        <v>30000</v>
      </c>
      <c r="J232" s="75" t="str">
        <f t="shared" si="9"/>
        <v>No</v>
      </c>
      <c r="K232" s="80" t="str">
        <f t="shared" si="10"/>
        <v>⚠️</v>
      </c>
      <c r="L232" s="56" t="str">
        <f t="shared" si="11"/>
        <v>Monto alto en efectivo</v>
      </c>
      <c r="N232" s="2" cm="1">
        <f t="array" ref="N232">SUMPRODUCT(
  (B$4:B232=B232)*
  (E$4:E232="Depósito")*
  (F$4:F232&gt;=15000)*
  (F$4:F232&lt;=49999)*
  (D$4:D232&gt;=D232-5)*
  (D$4:D232&lt;=D232)
)</f>
        <v>0</v>
      </c>
      <c r="O232" s="2" cm="1">
        <f t="array" ref="O232">IF(AND(E232="Retiro",F232&gt;=40000,G232="Sucursal"),
  SUMPRODUCT(
    (B$4:B232=B232)*
    (E$4:E232="Depósito")*
    (F$4:F232&gt;=F232*0.8)*
    (D$4:D232&gt;=D232-3)*
    (D$4:D232&lt;D232)
  ),0)</f>
        <v>0</v>
      </c>
    </row>
    <row r="233" spans="1:15" ht="18" customHeight="1" x14ac:dyDescent="0.25">
      <c r="A233" s="59">
        <v>230</v>
      </c>
      <c r="B233" s="59">
        <v>2</v>
      </c>
      <c r="C233" s="55" t="s">
        <v>13</v>
      </c>
      <c r="D233" s="55" t="s">
        <v>752</v>
      </c>
      <c r="E233" s="55" t="s">
        <v>490</v>
      </c>
      <c r="F233" s="77">
        <v>14000</v>
      </c>
      <c r="G233" s="55" t="s">
        <v>494</v>
      </c>
      <c r="H233" s="55" t="s">
        <v>753</v>
      </c>
      <c r="I233" s="76">
        <f>VLOOKUP(B233,'Caso 2 (Socios)'!$A$4:$G$73,4,FALSE)</f>
        <v>12000</v>
      </c>
      <c r="J233" s="75" t="str">
        <f t="shared" si="9"/>
        <v>No</v>
      </c>
      <c r="K233" s="80" t="str">
        <f t="shared" si="10"/>
        <v>✔️</v>
      </c>
      <c r="L233" s="56" t="str">
        <f t="shared" si="11"/>
        <v>Normal</v>
      </c>
      <c r="N233" s="2" cm="1">
        <f t="array" ref="N233">SUMPRODUCT(
  (B$4:B233=B233)*
  (E$4:E233="Depósito")*
  (F$4:F233&gt;=15000)*
  (F$4:F233&lt;=49999)*
  (D$4:D233&gt;=D233-5)*
  (D$4:D233&lt;=D233)
)</f>
        <v>0</v>
      </c>
      <c r="O233" s="2" cm="1">
        <f t="array" ref="O233">IF(AND(E233="Retiro",F233&gt;=40000,G233="Sucursal"),
  SUMPRODUCT(
    (B$4:B233=B233)*
    (E$4:E233="Depósito")*
    (F$4:F233&gt;=F233*0.8)*
    (D$4:D233&gt;=D233-3)*
    (D$4:D233&lt;D233)
  ),0)</f>
        <v>0</v>
      </c>
    </row>
    <row r="234" spans="1:15" ht="18" customHeight="1" x14ac:dyDescent="0.25">
      <c r="A234" s="75">
        <v>231</v>
      </c>
      <c r="B234" s="75">
        <v>8</v>
      </c>
      <c r="C234" s="56" t="s">
        <v>10</v>
      </c>
      <c r="D234" s="56" t="s">
        <v>754</v>
      </c>
      <c r="E234" s="56" t="s">
        <v>490</v>
      </c>
      <c r="F234" s="76">
        <v>6500</v>
      </c>
      <c r="G234" s="56" t="s">
        <v>491</v>
      </c>
      <c r="H234" s="56" t="s">
        <v>507</v>
      </c>
      <c r="I234" s="76">
        <f>VLOOKUP(B234,'Caso 2 (Socios)'!$A$4:$G$73,4,FALSE)</f>
        <v>6000</v>
      </c>
      <c r="J234" s="75" t="str">
        <f t="shared" si="9"/>
        <v>No</v>
      </c>
      <c r="K234" s="80" t="str">
        <f t="shared" si="10"/>
        <v>✔️</v>
      </c>
      <c r="L234" s="56" t="str">
        <f t="shared" si="11"/>
        <v>Normal</v>
      </c>
      <c r="N234" s="2" cm="1">
        <f t="array" ref="N234">SUMPRODUCT(
  (B$4:B234=B234)*
  (E$4:E234="Depósito")*
  (F$4:F234&gt;=15000)*
  (F$4:F234&lt;=49999)*
  (D$4:D234&gt;=D234-5)*
  (D$4:D234&lt;=D234)
)</f>
        <v>0</v>
      </c>
      <c r="O234" s="2" cm="1">
        <f t="array" ref="O234">IF(AND(E234="Retiro",F234&gt;=40000,G234="Sucursal"),
  SUMPRODUCT(
    (B$4:B234=B234)*
    (E$4:E234="Depósito")*
    (F$4:F234&gt;=F234*0.8)*
    (D$4:D234&gt;=D234-3)*
    (D$4:D234&lt;D234)
  ),0)</f>
        <v>0</v>
      </c>
    </row>
    <row r="235" spans="1:15" ht="18" customHeight="1" x14ac:dyDescent="0.25">
      <c r="A235" s="59">
        <v>232</v>
      </c>
      <c r="B235" s="59">
        <v>12</v>
      </c>
      <c r="C235" s="55" t="s">
        <v>22</v>
      </c>
      <c r="D235" s="55" t="s">
        <v>755</v>
      </c>
      <c r="E235" s="55" t="s">
        <v>490</v>
      </c>
      <c r="F235" s="77">
        <v>14200</v>
      </c>
      <c r="G235" s="55" t="s">
        <v>494</v>
      </c>
      <c r="H235" s="55" t="s">
        <v>756</v>
      </c>
      <c r="I235" s="76">
        <f>VLOOKUP(B235,'Caso 2 (Socios)'!$A$4:$G$73,4,FALSE)</f>
        <v>14500</v>
      </c>
      <c r="J235" s="75" t="str">
        <f t="shared" si="9"/>
        <v>No</v>
      </c>
      <c r="K235" s="80" t="str">
        <f t="shared" si="10"/>
        <v>✔️</v>
      </c>
      <c r="L235" s="56" t="str">
        <f t="shared" si="11"/>
        <v>Normal</v>
      </c>
      <c r="N235" s="2" cm="1">
        <f t="array" ref="N235">SUMPRODUCT(
  (B$4:B235=B235)*
  (E$4:E235="Depósito")*
  (F$4:F235&gt;=15000)*
  (F$4:F235&lt;=49999)*
  (D$4:D235&gt;=D235-5)*
  (D$4:D235&lt;=D235)
)</f>
        <v>1</v>
      </c>
      <c r="O235" s="2" cm="1">
        <f t="array" ref="O235">IF(AND(E235="Retiro",F235&gt;=40000,G235="Sucursal"),
  SUMPRODUCT(
    (B$4:B235=B235)*
    (E$4:E235="Depósito")*
    (F$4:F235&gt;=F235*0.8)*
    (D$4:D235&gt;=D235-3)*
    (D$4:D235&lt;D235)
  ),0)</f>
        <v>0</v>
      </c>
    </row>
    <row r="236" spans="1:15" ht="18" customHeight="1" x14ac:dyDescent="0.25">
      <c r="A236" s="75">
        <v>233</v>
      </c>
      <c r="B236" s="75">
        <v>16</v>
      </c>
      <c r="C236" s="56" t="s">
        <v>26</v>
      </c>
      <c r="D236" s="56" t="s">
        <v>757</v>
      </c>
      <c r="E236" s="56" t="s">
        <v>490</v>
      </c>
      <c r="F236" s="76">
        <v>12000</v>
      </c>
      <c r="G236" s="56" t="s">
        <v>491</v>
      </c>
      <c r="H236" s="56" t="s">
        <v>497</v>
      </c>
      <c r="I236" s="76">
        <f>VLOOKUP(B236,'Caso 2 (Socios)'!$A$4:$G$73,4,FALSE)</f>
        <v>12500</v>
      </c>
      <c r="J236" s="75" t="str">
        <f t="shared" si="9"/>
        <v>No</v>
      </c>
      <c r="K236" s="80" t="str">
        <f t="shared" si="10"/>
        <v>✔️</v>
      </c>
      <c r="L236" s="56" t="str">
        <f t="shared" si="11"/>
        <v>Normal</v>
      </c>
      <c r="N236" s="2" cm="1">
        <f t="array" ref="N236">SUMPRODUCT(
  (B$4:B236=B236)*
  (E$4:E236="Depósito")*
  (F$4:F236&gt;=15000)*
  (F$4:F236&lt;=49999)*
  (D$4:D236&gt;=D236-5)*
  (D$4:D236&lt;=D236)
)</f>
        <v>0</v>
      </c>
      <c r="O236" s="2" cm="1">
        <f t="array" ref="O236">IF(AND(E236="Retiro",F236&gt;=40000,G236="Sucursal"),
  SUMPRODUCT(
    (B$4:B236=B236)*
    (E$4:E236="Depósito")*
    (F$4:F236&gt;=F236*0.8)*
    (D$4:D236&gt;=D236-3)*
    (D$4:D236&lt;D236)
  ),0)</f>
        <v>0</v>
      </c>
    </row>
    <row r="237" spans="1:15" ht="18" customHeight="1" x14ac:dyDescent="0.25">
      <c r="A237" s="59">
        <v>234</v>
      </c>
      <c r="B237" s="59">
        <v>19</v>
      </c>
      <c r="C237" s="55" t="s">
        <v>29</v>
      </c>
      <c r="D237" s="55" t="s">
        <v>758</v>
      </c>
      <c r="E237" s="55" t="s">
        <v>490</v>
      </c>
      <c r="F237" s="77">
        <v>55000</v>
      </c>
      <c r="G237" s="55" t="s">
        <v>494</v>
      </c>
      <c r="H237" s="55" t="s">
        <v>682</v>
      </c>
      <c r="I237" s="76">
        <f>VLOOKUP(B237,'Caso 2 (Socios)'!$A$4:$G$73,4,FALSE)</f>
        <v>19000</v>
      </c>
      <c r="J237" s="75" t="str">
        <f t="shared" si="9"/>
        <v>No</v>
      </c>
      <c r="K237" s="80" t="str">
        <f t="shared" si="10"/>
        <v>⚠️</v>
      </c>
      <c r="L237" s="56" t="str">
        <f t="shared" si="11"/>
        <v>Monto alto en efectivo</v>
      </c>
      <c r="N237" s="2" cm="1">
        <f t="array" ref="N237">SUMPRODUCT(
  (B$4:B237=B237)*
  (E$4:E237="Depósito")*
  (F$4:F237&gt;=15000)*
  (F$4:F237&lt;=49999)*
  (D$4:D237&gt;=D237-5)*
  (D$4:D237&lt;=D237)
)</f>
        <v>4</v>
      </c>
      <c r="O237" s="2" cm="1">
        <f t="array" ref="O237">IF(AND(E237="Retiro",F237&gt;=40000,G237="Sucursal"),
  SUMPRODUCT(
    (B$4:B237=B237)*
    (E$4:E237="Depósito")*
    (F$4:F237&gt;=F237*0.8)*
    (D$4:D237&gt;=D237-3)*
    (D$4:D237&lt;D237)
  ),0)</f>
        <v>0</v>
      </c>
    </row>
    <row r="238" spans="1:15" ht="18" customHeight="1" x14ac:dyDescent="0.25">
      <c r="A238" s="75">
        <v>235</v>
      </c>
      <c r="B238" s="75">
        <v>22</v>
      </c>
      <c r="C238" s="56" t="s">
        <v>32</v>
      </c>
      <c r="D238" s="56" t="s">
        <v>759</v>
      </c>
      <c r="E238" s="56" t="s">
        <v>490</v>
      </c>
      <c r="F238" s="76">
        <v>13800</v>
      </c>
      <c r="G238" s="56" t="s">
        <v>491</v>
      </c>
      <c r="H238" s="56" t="s">
        <v>760</v>
      </c>
      <c r="I238" s="76">
        <f>VLOOKUP(B238,'Caso 2 (Socios)'!$A$4:$G$73,4,FALSE)</f>
        <v>14000</v>
      </c>
      <c r="J238" s="75" t="str">
        <f t="shared" si="9"/>
        <v>No</v>
      </c>
      <c r="K238" s="80" t="str">
        <f t="shared" si="10"/>
        <v>✔️</v>
      </c>
      <c r="L238" s="56" t="str">
        <f t="shared" si="11"/>
        <v>Normal</v>
      </c>
      <c r="N238" s="2" cm="1">
        <f t="array" ref="N238">SUMPRODUCT(
  (B$4:B238=B238)*
  (E$4:E238="Depósito")*
  (F$4:F238&gt;=15000)*
  (F$4:F238&lt;=49999)*
  (D$4:D238&gt;=D238-5)*
  (D$4:D238&lt;=D238)
)</f>
        <v>0</v>
      </c>
      <c r="O238" s="2" cm="1">
        <f t="array" ref="O238">IF(AND(E238="Retiro",F238&gt;=40000,G238="Sucursal"),
  SUMPRODUCT(
    (B$4:B238=B238)*
    (E$4:E238="Depósito")*
    (F$4:F238&gt;=F238*0.8)*
    (D$4:D238&gt;=D238-3)*
    (D$4:D238&lt;D238)
  ),0)</f>
        <v>0</v>
      </c>
    </row>
    <row r="239" spans="1:15" ht="18" customHeight="1" x14ac:dyDescent="0.25">
      <c r="A239" s="59">
        <v>236</v>
      </c>
      <c r="B239" s="59">
        <v>24</v>
      </c>
      <c r="C239" s="55" t="s">
        <v>34</v>
      </c>
      <c r="D239" s="55" t="s">
        <v>690</v>
      </c>
      <c r="E239" s="55" t="s">
        <v>490</v>
      </c>
      <c r="F239" s="77">
        <v>4800</v>
      </c>
      <c r="G239" s="55" t="s">
        <v>491</v>
      </c>
      <c r="H239" s="55" t="s">
        <v>513</v>
      </c>
      <c r="I239" s="76">
        <f>VLOOKUP(B239,'Caso 2 (Socios)'!$A$4:$G$73,4,FALSE)</f>
        <v>4500</v>
      </c>
      <c r="J239" s="75" t="str">
        <f t="shared" si="9"/>
        <v>No</v>
      </c>
      <c r="K239" s="80" t="str">
        <f t="shared" si="10"/>
        <v>✔️</v>
      </c>
      <c r="L239" s="56" t="str">
        <f t="shared" si="11"/>
        <v>Normal</v>
      </c>
      <c r="N239" s="2" cm="1">
        <f t="array" ref="N239">SUMPRODUCT(
  (B$4:B239=B239)*
  (E$4:E239="Depósito")*
  (F$4:F239&gt;=15000)*
  (F$4:F239&lt;=49999)*
  (D$4:D239&gt;=D239-5)*
  (D$4:D239&lt;=D239)
)</f>
        <v>0</v>
      </c>
      <c r="O239" s="2" cm="1">
        <f t="array" ref="O239">IF(AND(E239="Retiro",F239&gt;=40000,G239="Sucursal"),
  SUMPRODUCT(
    (B$4:B239=B239)*
    (E$4:E239="Depósito")*
    (F$4:F239&gt;=F239*0.8)*
    (D$4:D239&gt;=D239-3)*
    (D$4:D239&lt;D239)
  ),0)</f>
        <v>0</v>
      </c>
    </row>
    <row r="240" spans="1:15" ht="18" customHeight="1" x14ac:dyDescent="0.25">
      <c r="A240" s="75">
        <v>237</v>
      </c>
      <c r="B240" s="75">
        <v>26</v>
      </c>
      <c r="C240" s="56" t="s">
        <v>36</v>
      </c>
      <c r="D240" s="56" t="s">
        <v>687</v>
      </c>
      <c r="E240" s="56" t="s">
        <v>490</v>
      </c>
      <c r="F240" s="76">
        <v>47000</v>
      </c>
      <c r="G240" s="56" t="s">
        <v>494</v>
      </c>
      <c r="H240" s="56" t="s">
        <v>617</v>
      </c>
      <c r="I240" s="76">
        <f>VLOOKUP(B240,'Caso 2 (Socios)'!$A$4:$G$73,4,FALSE)</f>
        <v>8000</v>
      </c>
      <c r="J240" s="75" t="str">
        <f t="shared" si="9"/>
        <v>Sí</v>
      </c>
      <c r="K240" s="80" t="str">
        <f t="shared" si="10"/>
        <v>⚠️</v>
      </c>
      <c r="L240" s="56" t="str">
        <f t="shared" si="11"/>
        <v>Inconsistencia de perfil</v>
      </c>
      <c r="N240" s="2" cm="1">
        <f t="array" ref="N240">SUMPRODUCT(
  (B$4:B240=B240)*
  (E$4:E240="Depósito")*
  (F$4:F240&gt;=15000)*
  (F$4:F240&lt;=49999)*
  (D$4:D240&gt;=D240-5)*
  (D$4:D240&lt;=D240)
)</f>
        <v>3</v>
      </c>
      <c r="O240" s="2" cm="1">
        <f t="array" ref="O240">IF(AND(E240="Retiro",F240&gt;=40000,G240="Sucursal"),
  SUMPRODUCT(
    (B$4:B240=B240)*
    (E$4:E240="Depósito")*
    (F$4:F240&gt;=F240*0.8)*
    (D$4:D240&gt;=D240-3)*
    (D$4:D240&lt;D240)
  ),0)</f>
        <v>0</v>
      </c>
    </row>
    <row r="241" spans="1:15" ht="18" customHeight="1" x14ac:dyDescent="0.25">
      <c r="A241" s="59">
        <v>238</v>
      </c>
      <c r="B241" s="59">
        <v>26</v>
      </c>
      <c r="C241" s="55" t="s">
        <v>36</v>
      </c>
      <c r="D241" s="55" t="s">
        <v>761</v>
      </c>
      <c r="E241" s="55" t="s">
        <v>490</v>
      </c>
      <c r="F241" s="77">
        <v>46500</v>
      </c>
      <c r="G241" s="55" t="s">
        <v>494</v>
      </c>
      <c r="H241" s="55" t="s">
        <v>617</v>
      </c>
      <c r="I241" s="76">
        <f>VLOOKUP(B241,'Caso 2 (Socios)'!$A$4:$G$73,4,FALSE)</f>
        <v>8000</v>
      </c>
      <c r="J241" s="75" t="str">
        <f t="shared" si="9"/>
        <v>Sí</v>
      </c>
      <c r="K241" s="80" t="str">
        <f t="shared" si="10"/>
        <v>⚠️</v>
      </c>
      <c r="L241" s="56" t="str">
        <f t="shared" si="11"/>
        <v>Inconsistencia de perfil</v>
      </c>
      <c r="N241" s="2" cm="1">
        <f t="array" ref="N241">SUMPRODUCT(
  (B$4:B241=B241)*
  (E$4:E241="Depósito")*
  (F$4:F241&gt;=15000)*
  (F$4:F241&lt;=49999)*
  (D$4:D241&gt;=D241-5)*
  (D$4:D241&lt;=D241)
)</f>
        <v>4</v>
      </c>
      <c r="O241" s="2" cm="1">
        <f t="array" ref="O241">IF(AND(E241="Retiro",F241&gt;=40000,G241="Sucursal"),
  SUMPRODUCT(
    (B$4:B241=B241)*
    (E$4:E241="Depósito")*
    (F$4:F241&gt;=F241*0.8)*
    (D$4:D241&gt;=D241-3)*
    (D$4:D241&lt;D241)
  ),0)</f>
        <v>0</v>
      </c>
    </row>
    <row r="242" spans="1:15" ht="18" customHeight="1" x14ac:dyDescent="0.25">
      <c r="A242" s="75">
        <v>239</v>
      </c>
      <c r="B242" s="75">
        <v>28</v>
      </c>
      <c r="C242" s="56" t="s">
        <v>38</v>
      </c>
      <c r="D242" s="56" t="s">
        <v>693</v>
      </c>
      <c r="E242" s="56" t="s">
        <v>490</v>
      </c>
      <c r="F242" s="76">
        <v>23000</v>
      </c>
      <c r="G242" s="56" t="s">
        <v>494</v>
      </c>
      <c r="H242" s="56" t="s">
        <v>762</v>
      </c>
      <c r="I242" s="76">
        <f>VLOOKUP(B242,'Caso 2 (Socios)'!$A$4:$G$73,4,FALSE)</f>
        <v>23000</v>
      </c>
      <c r="J242" s="75" t="str">
        <f t="shared" si="9"/>
        <v>No</v>
      </c>
      <c r="K242" s="80" t="str">
        <f t="shared" si="10"/>
        <v>⚠️</v>
      </c>
      <c r="L242" s="56" t="str">
        <f t="shared" si="11"/>
        <v>Posible fraccionamiento</v>
      </c>
      <c r="N242" s="2" cm="1">
        <f t="array" ref="N242">SUMPRODUCT(
  (B$4:B242=B242)*
  (E$4:E242="Depósito")*
  (F$4:F242&gt;=15000)*
  (F$4:F242&lt;=49999)*
  (D$4:D242&gt;=D242-5)*
  (D$4:D242&lt;=D242)
)</f>
        <v>4</v>
      </c>
      <c r="O242" s="2" cm="1">
        <f t="array" ref="O242">IF(AND(E242="Retiro",F242&gt;=40000,G242="Sucursal"),
  SUMPRODUCT(
    (B$4:B242=B242)*
    (E$4:E242="Depósito")*
    (F$4:F242&gt;=F242*0.8)*
    (D$4:D242&gt;=D242-3)*
    (D$4:D242&lt;D242)
  ),0)</f>
        <v>0</v>
      </c>
    </row>
    <row r="243" spans="1:15" ht="18" customHeight="1" x14ac:dyDescent="0.25">
      <c r="A243" s="59">
        <v>240</v>
      </c>
      <c r="B243" s="59">
        <v>30</v>
      </c>
      <c r="C243" s="55" t="s">
        <v>40</v>
      </c>
      <c r="D243" s="55" t="s">
        <v>763</v>
      </c>
      <c r="E243" s="55" t="s">
        <v>490</v>
      </c>
      <c r="F243" s="77">
        <v>10500</v>
      </c>
      <c r="G243" s="55" t="s">
        <v>491</v>
      </c>
      <c r="H243" s="55" t="s">
        <v>497</v>
      </c>
      <c r="I243" s="76">
        <f>VLOOKUP(B243,'Caso 2 (Socios)'!$A$4:$G$73,4,FALSE)</f>
        <v>10200</v>
      </c>
      <c r="J243" s="75" t="str">
        <f t="shared" si="9"/>
        <v>No</v>
      </c>
      <c r="K243" s="80" t="str">
        <f t="shared" si="10"/>
        <v>✔️</v>
      </c>
      <c r="L243" s="56" t="str">
        <f t="shared" si="11"/>
        <v>Normal</v>
      </c>
      <c r="N243" s="2" cm="1">
        <f t="array" ref="N243">SUMPRODUCT(
  (B$4:B243=B243)*
  (E$4:E243="Depósito")*
  (F$4:F243&gt;=15000)*
  (F$4:F243&lt;=49999)*
  (D$4:D243&gt;=D243-5)*
  (D$4:D243&lt;=D243)
)</f>
        <v>0</v>
      </c>
      <c r="O243" s="2" cm="1">
        <f t="array" ref="O243">IF(AND(E243="Retiro",F243&gt;=40000,G243="Sucursal"),
  SUMPRODUCT(
    (B$4:B243=B243)*
    (E$4:E243="Depósito")*
    (F$4:F243&gt;=F243*0.8)*
    (D$4:D243&gt;=D243-3)*
    (D$4:D243&lt;D243)
  ),0)</f>
        <v>0</v>
      </c>
    </row>
    <row r="244" spans="1:15" ht="18" customHeight="1" x14ac:dyDescent="0.25">
      <c r="A244" s="75">
        <v>241</v>
      </c>
      <c r="B244" s="75">
        <v>32</v>
      </c>
      <c r="C244" s="56" t="s">
        <v>11</v>
      </c>
      <c r="D244" s="56" t="s">
        <v>764</v>
      </c>
      <c r="E244" s="56" t="s">
        <v>490</v>
      </c>
      <c r="F244" s="76">
        <v>12500</v>
      </c>
      <c r="G244" s="56" t="s">
        <v>494</v>
      </c>
      <c r="H244" s="56" t="s">
        <v>620</v>
      </c>
      <c r="I244" s="76">
        <f>VLOOKUP(B244,'Caso 2 (Socios)'!$A$4:$G$73,4,FALSE)</f>
        <v>12800</v>
      </c>
      <c r="J244" s="75" t="str">
        <f t="shared" si="9"/>
        <v>No</v>
      </c>
      <c r="K244" s="80" t="str">
        <f t="shared" si="10"/>
        <v>✔️</v>
      </c>
      <c r="L244" s="56" t="str">
        <f t="shared" si="11"/>
        <v>Normal</v>
      </c>
      <c r="N244" s="2" cm="1">
        <f t="array" ref="N244">SUMPRODUCT(
  (B$4:B244=B244)*
  (E$4:E244="Depósito")*
  (F$4:F244&gt;=15000)*
  (F$4:F244&lt;=49999)*
  (D$4:D244&gt;=D244-5)*
  (D$4:D244&lt;=D244)
)</f>
        <v>0</v>
      </c>
      <c r="O244" s="2" cm="1">
        <f t="array" ref="O244">IF(AND(E244="Retiro",F244&gt;=40000,G244="Sucursal"),
  SUMPRODUCT(
    (B$4:B244=B244)*
    (E$4:E244="Depósito")*
    (F$4:F244&gt;=F244*0.8)*
    (D$4:D244&gt;=D244-3)*
    (D$4:D244&lt;D244)
  ),0)</f>
        <v>0</v>
      </c>
    </row>
    <row r="245" spans="1:15" ht="18" customHeight="1" x14ac:dyDescent="0.25">
      <c r="A245" s="59">
        <v>242</v>
      </c>
      <c r="B245" s="59">
        <v>33</v>
      </c>
      <c r="C245" s="55" t="s">
        <v>42</v>
      </c>
      <c r="D245" s="55" t="s">
        <v>765</v>
      </c>
      <c r="E245" s="55" t="s">
        <v>490</v>
      </c>
      <c r="F245" s="77">
        <v>52000</v>
      </c>
      <c r="G245" s="55" t="s">
        <v>494</v>
      </c>
      <c r="H245" s="55" t="s">
        <v>566</v>
      </c>
      <c r="I245" s="76">
        <f>VLOOKUP(B245,'Caso 2 (Socios)'!$A$4:$G$73,4,FALSE)</f>
        <v>8700</v>
      </c>
      <c r="J245" s="75" t="str">
        <f t="shared" si="9"/>
        <v>Sí</v>
      </c>
      <c r="K245" s="80" t="str">
        <f t="shared" si="10"/>
        <v>⚠️</v>
      </c>
      <c r="L245" s="56" t="str">
        <f t="shared" si="11"/>
        <v>Monto alto + Inconsistencia</v>
      </c>
      <c r="N245" s="2" cm="1">
        <f t="array" ref="N245">SUMPRODUCT(
  (B$4:B245=B245)*
  (E$4:E245="Depósito")*
  (F$4:F245&gt;=15000)*
  (F$4:F245&lt;=49999)*
  (D$4:D245&gt;=D245-5)*
  (D$4:D245&lt;=D245)
)</f>
        <v>0</v>
      </c>
      <c r="O245" s="2" cm="1">
        <f t="array" ref="O245">IF(AND(E245="Retiro",F245&gt;=40000,G245="Sucursal"),
  SUMPRODUCT(
    (B$4:B245=B245)*
    (E$4:E245="Depósito")*
    (F$4:F245&gt;=F245*0.8)*
    (D$4:D245&gt;=D245-3)*
    (D$4:D245&lt;D245)
  ),0)</f>
        <v>0</v>
      </c>
    </row>
    <row r="246" spans="1:15" ht="18" customHeight="1" x14ac:dyDescent="0.25">
      <c r="A246" s="75">
        <v>243</v>
      </c>
      <c r="B246" s="75">
        <v>34</v>
      </c>
      <c r="C246" s="56" t="s">
        <v>43</v>
      </c>
      <c r="D246" s="56" t="s">
        <v>695</v>
      </c>
      <c r="E246" s="56" t="s">
        <v>490</v>
      </c>
      <c r="F246" s="76">
        <v>5800</v>
      </c>
      <c r="G246" s="56" t="s">
        <v>491</v>
      </c>
      <c r="H246" s="56" t="s">
        <v>513</v>
      </c>
      <c r="I246" s="76">
        <f>VLOOKUP(B246,'Caso 2 (Socios)'!$A$4:$G$73,4,FALSE)</f>
        <v>5500</v>
      </c>
      <c r="J246" s="75" t="str">
        <f t="shared" si="9"/>
        <v>No</v>
      </c>
      <c r="K246" s="80" t="str">
        <f t="shared" si="10"/>
        <v>✔️</v>
      </c>
      <c r="L246" s="56" t="str">
        <f t="shared" si="11"/>
        <v>Normal</v>
      </c>
      <c r="N246" s="2" cm="1">
        <f t="array" ref="N246">SUMPRODUCT(
  (B$4:B246=B246)*
  (E$4:E246="Depósito")*
  (F$4:F246&gt;=15000)*
  (F$4:F246&lt;=49999)*
  (D$4:D246&gt;=D246-5)*
  (D$4:D246&lt;=D246)
)</f>
        <v>0</v>
      </c>
      <c r="O246" s="2" cm="1">
        <f t="array" ref="O246">IF(AND(E246="Retiro",F246&gt;=40000,G246="Sucursal"),
  SUMPRODUCT(
    (B$4:B246=B246)*
    (E$4:E246="Depósito")*
    (F$4:F246&gt;=F246*0.8)*
    (D$4:D246&gt;=D246-3)*
    (D$4:D246&lt;D246)
  ),0)</f>
        <v>0</v>
      </c>
    </row>
    <row r="247" spans="1:15" ht="18" customHeight="1" x14ac:dyDescent="0.25">
      <c r="A247" s="59">
        <v>244</v>
      </c>
      <c r="B247" s="59">
        <v>36</v>
      </c>
      <c r="C247" s="55" t="s">
        <v>45</v>
      </c>
      <c r="D247" s="55" t="s">
        <v>697</v>
      </c>
      <c r="E247" s="55" t="s">
        <v>490</v>
      </c>
      <c r="F247" s="77">
        <v>15000</v>
      </c>
      <c r="G247" s="55" t="s">
        <v>494</v>
      </c>
      <c r="H247" s="55" t="s">
        <v>497</v>
      </c>
      <c r="I247" s="76">
        <f>VLOOKUP(B247,'Caso 2 (Socios)'!$A$4:$G$73,4,FALSE)</f>
        <v>15000</v>
      </c>
      <c r="J247" s="75" t="str">
        <f t="shared" si="9"/>
        <v>No</v>
      </c>
      <c r="K247" s="80" t="str">
        <f t="shared" si="10"/>
        <v>✔️</v>
      </c>
      <c r="L247" s="56" t="str">
        <f t="shared" si="11"/>
        <v>Normal</v>
      </c>
      <c r="N247" s="2" cm="1">
        <f t="array" ref="N247">SUMPRODUCT(
  (B$4:B247=B247)*
  (E$4:E247="Depósito")*
  (F$4:F247&gt;=15000)*
  (F$4:F247&lt;=49999)*
  (D$4:D247&gt;=D247-5)*
  (D$4:D247&lt;=D247)
)</f>
        <v>1</v>
      </c>
      <c r="O247" s="2" cm="1">
        <f t="array" ref="O247">IF(AND(E247="Retiro",F247&gt;=40000,G247="Sucursal"),
  SUMPRODUCT(
    (B$4:B247=B247)*
    (E$4:E247="Depósito")*
    (F$4:F247&gt;=F247*0.8)*
    (D$4:D247&gt;=D247-3)*
    (D$4:D247&lt;D247)
  ),0)</f>
        <v>0</v>
      </c>
    </row>
    <row r="248" spans="1:15" ht="18" customHeight="1" x14ac:dyDescent="0.25">
      <c r="A248" s="75">
        <v>245</v>
      </c>
      <c r="B248" s="75">
        <v>38</v>
      </c>
      <c r="C248" s="56" t="s">
        <v>47</v>
      </c>
      <c r="D248" s="56" t="s">
        <v>699</v>
      </c>
      <c r="E248" s="56" t="s">
        <v>490</v>
      </c>
      <c r="F248" s="76">
        <v>9800</v>
      </c>
      <c r="G248" s="56" t="s">
        <v>491</v>
      </c>
      <c r="H248" s="56" t="s">
        <v>509</v>
      </c>
      <c r="I248" s="76">
        <f>VLOOKUP(B248,'Caso 2 (Socios)'!$A$4:$G$73,4,FALSE)</f>
        <v>9500</v>
      </c>
      <c r="J248" s="75" t="str">
        <f t="shared" si="9"/>
        <v>No</v>
      </c>
      <c r="K248" s="80" t="str">
        <f t="shared" si="10"/>
        <v>✔️</v>
      </c>
      <c r="L248" s="56" t="str">
        <f t="shared" si="11"/>
        <v>Normal</v>
      </c>
      <c r="N248" s="2" cm="1">
        <f t="array" ref="N248">SUMPRODUCT(
  (B$4:B248=B248)*
  (E$4:E248="Depósito")*
  (F$4:F248&gt;=15000)*
  (F$4:F248&lt;=49999)*
  (D$4:D248&gt;=D248-5)*
  (D$4:D248&lt;=D248)
)</f>
        <v>0</v>
      </c>
      <c r="O248" s="2" cm="1">
        <f t="array" ref="O248">IF(AND(E248="Retiro",F248&gt;=40000,G248="Sucursal"),
  SUMPRODUCT(
    (B$4:B248=B248)*
    (E$4:E248="Depósito")*
    (F$4:F248&gt;=F248*0.8)*
    (D$4:D248&gt;=D248-3)*
    (D$4:D248&lt;D248)
  ),0)</f>
        <v>0</v>
      </c>
    </row>
    <row r="249" spans="1:15" ht="18" customHeight="1" x14ac:dyDescent="0.25">
      <c r="A249" s="59">
        <v>246</v>
      </c>
      <c r="B249" s="59">
        <v>39</v>
      </c>
      <c r="C249" s="55" t="s">
        <v>48</v>
      </c>
      <c r="D249" s="55" t="s">
        <v>702</v>
      </c>
      <c r="E249" s="55" t="s">
        <v>490</v>
      </c>
      <c r="F249" s="77">
        <v>68000</v>
      </c>
      <c r="G249" s="55" t="s">
        <v>494</v>
      </c>
      <c r="H249" s="55" t="s">
        <v>766</v>
      </c>
      <c r="I249" s="76">
        <f>VLOOKUP(B249,'Caso 2 (Socios)'!$A$4:$G$73,4,FALSE)</f>
        <v>13500</v>
      </c>
      <c r="J249" s="75" t="str">
        <f t="shared" si="9"/>
        <v>Sí</v>
      </c>
      <c r="K249" s="80" t="str">
        <f t="shared" si="10"/>
        <v>⚠️</v>
      </c>
      <c r="L249" s="56" t="str">
        <f t="shared" si="11"/>
        <v>Monto alto + Inconsistencia</v>
      </c>
      <c r="N249" s="2" cm="1">
        <f t="array" ref="N249">SUMPRODUCT(
  (B$4:B249=B249)*
  (E$4:E249="Depósito")*
  (F$4:F249&gt;=15000)*
  (F$4:F249&lt;=49999)*
  (D$4:D249&gt;=D249-5)*
  (D$4:D249&lt;=D249)
)</f>
        <v>0</v>
      </c>
      <c r="O249" s="2" cm="1">
        <f t="array" ref="O249">IF(AND(E249="Retiro",F249&gt;=40000,G249="Sucursal"),
  SUMPRODUCT(
    (B$4:B249=B249)*
    (E$4:E249="Depósito")*
    (F$4:F249&gt;=F249*0.8)*
    (D$4:D249&gt;=D249-3)*
    (D$4:D249&lt;D249)
  ),0)</f>
        <v>0</v>
      </c>
    </row>
    <row r="250" spans="1:15" ht="18" customHeight="1" x14ac:dyDescent="0.25">
      <c r="A250" s="75">
        <v>247</v>
      </c>
      <c r="B250" s="75">
        <v>41</v>
      </c>
      <c r="C250" s="56" t="s">
        <v>50</v>
      </c>
      <c r="D250" s="56" t="s">
        <v>767</v>
      </c>
      <c r="E250" s="56" t="s">
        <v>490</v>
      </c>
      <c r="F250" s="76">
        <v>17200</v>
      </c>
      <c r="G250" s="56" t="s">
        <v>494</v>
      </c>
      <c r="H250" s="56" t="s">
        <v>517</v>
      </c>
      <c r="I250" s="76">
        <f>VLOOKUP(B250,'Caso 2 (Socios)'!$A$4:$G$73,4,FALSE)</f>
        <v>16800</v>
      </c>
      <c r="J250" s="75" t="str">
        <f t="shared" si="9"/>
        <v>No</v>
      </c>
      <c r="K250" s="80" t="str">
        <f t="shared" si="10"/>
        <v>⚠️</v>
      </c>
      <c r="L250" s="56" t="str">
        <f t="shared" si="11"/>
        <v>Posible fraccionamiento</v>
      </c>
      <c r="N250" s="2" cm="1">
        <f t="array" ref="N250">SUMPRODUCT(
  (B$4:B250=B250)*
  (E$4:E250="Depósito")*
  (F$4:F250&gt;=15000)*
  (F$4:F250&lt;=49999)*
  (D$4:D250&gt;=D250-5)*
  (D$4:D250&lt;=D250)
)</f>
        <v>4</v>
      </c>
      <c r="O250" s="2" cm="1">
        <f t="array" ref="O250">IF(AND(E250="Retiro",F250&gt;=40000,G250="Sucursal"),
  SUMPRODUCT(
    (B$4:B250=B250)*
    (E$4:E250="Depósito")*
    (F$4:F250&gt;=F250*0.8)*
    (D$4:D250&gt;=D250-3)*
    (D$4:D250&lt;D250)
  ),0)</f>
        <v>0</v>
      </c>
    </row>
    <row r="251" spans="1:15" ht="18" customHeight="1" x14ac:dyDescent="0.25">
      <c r="A251" s="59">
        <v>248</v>
      </c>
      <c r="B251" s="59">
        <v>42</v>
      </c>
      <c r="C251" s="55" t="s">
        <v>51</v>
      </c>
      <c r="D251" s="55" t="s">
        <v>703</v>
      </c>
      <c r="E251" s="55" t="s">
        <v>490</v>
      </c>
      <c r="F251" s="77">
        <v>10500</v>
      </c>
      <c r="G251" s="55" t="s">
        <v>491</v>
      </c>
      <c r="H251" s="55" t="s">
        <v>497</v>
      </c>
      <c r="I251" s="76">
        <f>VLOOKUP(B251,'Caso 2 (Socios)'!$A$4:$G$73,4,FALSE)</f>
        <v>10800</v>
      </c>
      <c r="J251" s="75" t="str">
        <f t="shared" si="9"/>
        <v>No</v>
      </c>
      <c r="K251" s="80" t="str">
        <f t="shared" si="10"/>
        <v>✔️</v>
      </c>
      <c r="L251" s="56" t="str">
        <f t="shared" si="11"/>
        <v>Normal</v>
      </c>
      <c r="N251" s="2" cm="1">
        <f t="array" ref="N251">SUMPRODUCT(
  (B$4:B251=B251)*
  (E$4:E251="Depósito")*
  (F$4:F251&gt;=15000)*
  (F$4:F251&lt;=49999)*
  (D$4:D251&gt;=D251-5)*
  (D$4:D251&lt;=D251)
)</f>
        <v>0</v>
      </c>
      <c r="O251" s="2" cm="1">
        <f t="array" ref="O251">IF(AND(E251="Retiro",F251&gt;=40000,G251="Sucursal"),
  SUMPRODUCT(
    (B$4:B251=B251)*
    (E$4:E251="Depósito")*
    (F$4:F251&gt;=F251*0.8)*
    (D$4:D251&gt;=D251-3)*
    (D$4:D251&lt;D251)
  ),0)</f>
        <v>0</v>
      </c>
    </row>
    <row r="252" spans="1:15" ht="18" customHeight="1" x14ac:dyDescent="0.25">
      <c r="A252" s="75">
        <v>249</v>
      </c>
      <c r="B252" s="75">
        <v>44</v>
      </c>
      <c r="C252" s="56" t="s">
        <v>53</v>
      </c>
      <c r="D252" s="56" t="s">
        <v>705</v>
      </c>
      <c r="E252" s="56" t="s">
        <v>490</v>
      </c>
      <c r="F252" s="76">
        <v>14800</v>
      </c>
      <c r="G252" s="56" t="s">
        <v>494</v>
      </c>
      <c r="H252" s="56" t="s">
        <v>529</v>
      </c>
      <c r="I252" s="76">
        <f>VLOOKUP(B252,'Caso 2 (Socios)'!$A$4:$G$73,4,FALSE)</f>
        <v>14200</v>
      </c>
      <c r="J252" s="75" t="str">
        <f t="shared" si="9"/>
        <v>No</v>
      </c>
      <c r="K252" s="80" t="str">
        <f t="shared" si="10"/>
        <v>✔️</v>
      </c>
      <c r="L252" s="56" t="str">
        <f t="shared" si="11"/>
        <v>Normal</v>
      </c>
      <c r="N252" s="2" cm="1">
        <f t="array" ref="N252">SUMPRODUCT(
  (B$4:B252=B252)*
  (E$4:E252="Depósito")*
  (F$4:F252&gt;=15000)*
  (F$4:F252&lt;=49999)*
  (D$4:D252&gt;=D252-5)*
  (D$4:D252&lt;=D252)
)</f>
        <v>1</v>
      </c>
      <c r="O252" s="2" cm="1">
        <f t="array" ref="O252">IF(AND(E252="Retiro",F252&gt;=40000,G252="Sucursal"),
  SUMPRODUCT(
    (B$4:B252=B252)*
    (E$4:E252="Depósito")*
    (F$4:F252&gt;=F252*0.8)*
    (D$4:D252&gt;=D252-3)*
    (D$4:D252&lt;D252)
  ),0)</f>
        <v>0</v>
      </c>
    </row>
    <row r="253" spans="1:15" ht="18" customHeight="1" x14ac:dyDescent="0.25">
      <c r="A253" s="59">
        <v>250</v>
      </c>
      <c r="B253" s="59">
        <v>46</v>
      </c>
      <c r="C253" s="55" t="s">
        <v>55</v>
      </c>
      <c r="D253" s="55" t="s">
        <v>707</v>
      </c>
      <c r="E253" s="55" t="s">
        <v>490</v>
      </c>
      <c r="F253" s="77">
        <v>6700</v>
      </c>
      <c r="G253" s="55" t="s">
        <v>491</v>
      </c>
      <c r="H253" s="55" t="s">
        <v>513</v>
      </c>
      <c r="I253" s="76">
        <f>VLOOKUP(B253,'Caso 2 (Socios)'!$A$4:$G$73,4,FALSE)</f>
        <v>6500</v>
      </c>
      <c r="J253" s="75" t="str">
        <f t="shared" si="9"/>
        <v>No</v>
      </c>
      <c r="K253" s="80" t="str">
        <f t="shared" si="10"/>
        <v>✔️</v>
      </c>
      <c r="L253" s="56" t="str">
        <f t="shared" si="11"/>
        <v>Normal</v>
      </c>
      <c r="N253" s="2" cm="1">
        <f t="array" ref="N253">SUMPRODUCT(
  (B$4:B253=B253)*
  (E$4:E253="Depósito")*
  (F$4:F253&gt;=15000)*
  (F$4:F253&lt;=49999)*
  (D$4:D253&gt;=D253-5)*
  (D$4:D253&lt;=D253)
)</f>
        <v>0</v>
      </c>
      <c r="O253" s="2" cm="1">
        <f t="array" ref="O253">IF(AND(E253="Retiro",F253&gt;=40000,G253="Sucursal"),
  SUMPRODUCT(
    (B$4:B253=B253)*
    (E$4:E253="Depósito")*
    (F$4:F253&gt;=F253*0.8)*
    (D$4:D253&gt;=D253-3)*
    (D$4:D253&lt;D253)
  ),0)</f>
        <v>0</v>
      </c>
    </row>
    <row r="254" spans="1:15" ht="18" customHeight="1" x14ac:dyDescent="0.25">
      <c r="A254" s="75">
        <v>251</v>
      </c>
      <c r="B254" s="75">
        <v>48</v>
      </c>
      <c r="C254" s="56" t="s">
        <v>57</v>
      </c>
      <c r="D254" s="56" t="s">
        <v>708</v>
      </c>
      <c r="E254" s="56" t="s">
        <v>490</v>
      </c>
      <c r="F254" s="76">
        <v>13500</v>
      </c>
      <c r="G254" s="56" t="s">
        <v>494</v>
      </c>
      <c r="H254" s="56" t="s">
        <v>497</v>
      </c>
      <c r="I254" s="76">
        <f>VLOOKUP(B254,'Caso 2 (Socios)'!$A$4:$G$73,4,FALSE)</f>
        <v>13800</v>
      </c>
      <c r="J254" s="75" t="str">
        <f t="shared" si="9"/>
        <v>No</v>
      </c>
      <c r="K254" s="80" t="str">
        <f t="shared" si="10"/>
        <v>✔️</v>
      </c>
      <c r="L254" s="56" t="str">
        <f t="shared" si="11"/>
        <v>Normal</v>
      </c>
      <c r="N254" s="2" cm="1">
        <f t="array" ref="N254">SUMPRODUCT(
  (B$4:B254=B254)*
  (E$4:E254="Depósito")*
  (F$4:F254&gt;=15000)*
  (F$4:F254&lt;=49999)*
  (D$4:D254&gt;=D254-5)*
  (D$4:D254&lt;=D254)
)</f>
        <v>0</v>
      </c>
      <c r="O254" s="2" cm="1">
        <f t="array" ref="O254">IF(AND(E254="Retiro",F254&gt;=40000,G254="Sucursal"),
  SUMPRODUCT(
    (B$4:B254=B254)*
    (E$4:E254="Depósito")*
    (F$4:F254&gt;=F254*0.8)*
    (D$4:D254&gt;=D254-3)*
    (D$4:D254&lt;D254)
  ),0)</f>
        <v>0</v>
      </c>
    </row>
    <row r="255" spans="1:15" ht="18" customHeight="1" x14ac:dyDescent="0.25">
      <c r="A255" s="59">
        <v>252</v>
      </c>
      <c r="B255" s="59">
        <v>50</v>
      </c>
      <c r="C255" s="55" t="s">
        <v>59</v>
      </c>
      <c r="D255" s="55" t="s">
        <v>768</v>
      </c>
      <c r="E255" s="55" t="s">
        <v>490</v>
      </c>
      <c r="F255" s="77">
        <v>5200</v>
      </c>
      <c r="G255" s="55" t="s">
        <v>491</v>
      </c>
      <c r="H255" s="55" t="s">
        <v>507</v>
      </c>
      <c r="I255" s="76">
        <f>VLOOKUP(B255,'Caso 2 (Socios)'!$A$4:$G$73,4,FALSE)</f>
        <v>5000</v>
      </c>
      <c r="J255" s="75" t="str">
        <f t="shared" si="9"/>
        <v>No</v>
      </c>
      <c r="K255" s="80" t="str">
        <f t="shared" si="10"/>
        <v>✔️</v>
      </c>
      <c r="L255" s="56" t="str">
        <f t="shared" si="11"/>
        <v>Normal</v>
      </c>
      <c r="N255" s="2" cm="1">
        <f t="array" ref="N255">SUMPRODUCT(
  (B$4:B255=B255)*
  (E$4:E255="Depósito")*
  (F$4:F255&gt;=15000)*
  (F$4:F255&lt;=49999)*
  (D$4:D255&gt;=D255-5)*
  (D$4:D255&lt;=D255)
)</f>
        <v>0</v>
      </c>
      <c r="O255" s="2" cm="1">
        <f t="array" ref="O255">IF(AND(E255="Retiro",F255&gt;=40000,G255="Sucursal"),
  SUMPRODUCT(
    (B$4:B255=B255)*
    (E$4:E255="Depósito")*
    (F$4:F255&gt;=F255*0.8)*
    (D$4:D255&gt;=D255-3)*
    (D$4:D255&lt;D255)
  ),0)</f>
        <v>0</v>
      </c>
    </row>
    <row r="256" spans="1:15" ht="18" customHeight="1" x14ac:dyDescent="0.25">
      <c r="A256" s="75">
        <v>253</v>
      </c>
      <c r="B256" s="75">
        <v>51</v>
      </c>
      <c r="C256" s="56" t="s">
        <v>60</v>
      </c>
      <c r="D256" s="56" t="s">
        <v>709</v>
      </c>
      <c r="E256" s="56" t="s">
        <v>490</v>
      </c>
      <c r="F256" s="76">
        <v>45000</v>
      </c>
      <c r="G256" s="56" t="s">
        <v>494</v>
      </c>
      <c r="H256" s="56" t="s">
        <v>635</v>
      </c>
      <c r="I256" s="76">
        <f>VLOOKUP(B256,'Caso 2 (Socios)'!$A$4:$G$73,4,FALSE)</f>
        <v>10900</v>
      </c>
      <c r="J256" s="75" t="str">
        <f t="shared" si="9"/>
        <v>Sí</v>
      </c>
      <c r="K256" s="80" t="str">
        <f t="shared" si="10"/>
        <v>⚠️</v>
      </c>
      <c r="L256" s="56" t="str">
        <f t="shared" si="11"/>
        <v>Inconsistencia de perfil</v>
      </c>
      <c r="N256" s="2" cm="1">
        <f t="array" ref="N256">SUMPRODUCT(
  (B$4:B256=B256)*
  (E$4:E256="Depósito")*
  (F$4:F256&gt;=15000)*
  (F$4:F256&lt;=49999)*
  (D$4:D256&gt;=D256-5)*
  (D$4:D256&lt;=D256)
)</f>
        <v>2</v>
      </c>
      <c r="O256" s="2" cm="1">
        <f t="array" ref="O256">IF(AND(E256="Retiro",F256&gt;=40000,G256="Sucursal"),
  SUMPRODUCT(
    (B$4:B256=B256)*
    (E$4:E256="Depósito")*
    (F$4:F256&gt;=F256*0.8)*
    (D$4:D256&gt;=D256-3)*
    (D$4:D256&lt;D256)
  ),0)</f>
        <v>0</v>
      </c>
    </row>
    <row r="257" spans="1:15" ht="18" customHeight="1" x14ac:dyDescent="0.25">
      <c r="A257" s="59">
        <v>254</v>
      </c>
      <c r="B257" s="59">
        <v>51</v>
      </c>
      <c r="C257" s="55" t="s">
        <v>60</v>
      </c>
      <c r="D257" s="55" t="s">
        <v>769</v>
      </c>
      <c r="E257" s="55" t="s">
        <v>490</v>
      </c>
      <c r="F257" s="77">
        <v>44500</v>
      </c>
      <c r="G257" s="55" t="s">
        <v>494</v>
      </c>
      <c r="H257" s="55" t="s">
        <v>635</v>
      </c>
      <c r="I257" s="76">
        <f>VLOOKUP(B257,'Caso 2 (Socios)'!$A$4:$G$73,4,FALSE)</f>
        <v>10900</v>
      </c>
      <c r="J257" s="75" t="str">
        <f t="shared" si="9"/>
        <v>Sí</v>
      </c>
      <c r="K257" s="80" t="str">
        <f t="shared" si="10"/>
        <v>⚠️</v>
      </c>
      <c r="L257" s="56" t="str">
        <f t="shared" si="11"/>
        <v>Inconsistencia de perfil</v>
      </c>
      <c r="N257" s="2" cm="1">
        <f t="array" ref="N257">SUMPRODUCT(
  (B$4:B257=B257)*
  (E$4:E257="Depósito")*
  (F$4:F257&gt;=15000)*
  (F$4:F257&lt;=49999)*
  (D$4:D257&gt;=D257-5)*
  (D$4:D257&lt;=D257)
)</f>
        <v>4</v>
      </c>
      <c r="O257" s="2" cm="1">
        <f t="array" ref="O257">IF(AND(E257="Retiro",F257&gt;=40000,G257="Sucursal"),
  SUMPRODUCT(
    (B$4:B257=B257)*
    (E$4:E257="Depósito")*
    (F$4:F257&gt;=F257*0.8)*
    (D$4:D257&gt;=D257-3)*
    (D$4:D257&lt;D257)
  ),0)</f>
        <v>0</v>
      </c>
    </row>
    <row r="258" spans="1:15" ht="18" customHeight="1" x14ac:dyDescent="0.25">
      <c r="A258" s="75">
        <v>255</v>
      </c>
      <c r="B258" s="75">
        <v>52</v>
      </c>
      <c r="C258" s="56" t="s">
        <v>61</v>
      </c>
      <c r="D258" s="56" t="s">
        <v>710</v>
      </c>
      <c r="E258" s="56" t="s">
        <v>490</v>
      </c>
      <c r="F258" s="76">
        <v>11200</v>
      </c>
      <c r="G258" s="56" t="s">
        <v>491</v>
      </c>
      <c r="H258" s="56" t="s">
        <v>497</v>
      </c>
      <c r="I258" s="76">
        <f>VLOOKUP(B258,'Caso 2 (Socios)'!$A$4:$G$73,4,FALSE)</f>
        <v>11000</v>
      </c>
      <c r="J258" s="75" t="str">
        <f t="shared" si="9"/>
        <v>No</v>
      </c>
      <c r="K258" s="80" t="str">
        <f t="shared" si="10"/>
        <v>✔️</v>
      </c>
      <c r="L258" s="56" t="str">
        <f t="shared" si="11"/>
        <v>Normal</v>
      </c>
      <c r="N258" s="2" cm="1">
        <f t="array" ref="N258">SUMPRODUCT(
  (B$4:B258=B258)*
  (E$4:E258="Depósito")*
  (F$4:F258&gt;=15000)*
  (F$4:F258&lt;=49999)*
  (D$4:D258&gt;=D258-5)*
  (D$4:D258&lt;=D258)
)</f>
        <v>0</v>
      </c>
      <c r="O258" s="2" cm="1">
        <f t="array" ref="O258">IF(AND(E258="Retiro",F258&gt;=40000,G258="Sucursal"),
  SUMPRODUCT(
    (B$4:B258=B258)*
    (E$4:E258="Depósito")*
    (F$4:F258&gt;=F258*0.8)*
    (D$4:D258&gt;=D258-3)*
    (D$4:D258&lt;D258)
  ),0)</f>
        <v>0</v>
      </c>
    </row>
    <row r="259" spans="1:15" ht="18" customHeight="1" x14ac:dyDescent="0.25">
      <c r="A259" s="59">
        <v>256</v>
      </c>
      <c r="B259" s="59">
        <v>53</v>
      </c>
      <c r="C259" s="55" t="s">
        <v>62</v>
      </c>
      <c r="D259" s="55" t="s">
        <v>711</v>
      </c>
      <c r="E259" s="55" t="s">
        <v>490</v>
      </c>
      <c r="F259" s="77">
        <v>19000</v>
      </c>
      <c r="G259" s="55" t="s">
        <v>494</v>
      </c>
      <c r="H259" s="55" t="s">
        <v>517</v>
      </c>
      <c r="I259" s="76">
        <f>VLOOKUP(B259,'Caso 2 (Socios)'!$A$4:$G$73,4,FALSE)</f>
        <v>19500</v>
      </c>
      <c r="J259" s="75" t="str">
        <f t="shared" si="9"/>
        <v>No</v>
      </c>
      <c r="K259" s="80" t="str">
        <f t="shared" si="10"/>
        <v>⚠️</v>
      </c>
      <c r="L259" s="56" t="str">
        <f t="shared" si="11"/>
        <v>Posible fraccionamiento</v>
      </c>
      <c r="N259" s="2" cm="1">
        <f t="array" ref="N259">SUMPRODUCT(
  (B$4:B259=B259)*
  (E$4:E259="Depósito")*
  (F$4:F259&gt;=15000)*
  (F$4:F259&lt;=49999)*
  (D$4:D259&gt;=D259-5)*
  (D$4:D259&lt;=D259)
)</f>
        <v>2</v>
      </c>
      <c r="O259" s="2" cm="1">
        <f t="array" ref="O259">IF(AND(E259="Retiro",F259&gt;=40000,G259="Sucursal"),
  SUMPRODUCT(
    (B$4:B259=B259)*
    (E$4:E259="Depósito")*
    (F$4:F259&gt;=F259*0.8)*
    (D$4:D259&gt;=D259-3)*
    (D$4:D259&lt;D259)
  ),0)</f>
        <v>0</v>
      </c>
    </row>
    <row r="260" spans="1:15" ht="18" customHeight="1" x14ac:dyDescent="0.25">
      <c r="A260" s="75">
        <v>257</v>
      </c>
      <c r="B260" s="75">
        <v>54</v>
      </c>
      <c r="C260" s="56" t="s">
        <v>63</v>
      </c>
      <c r="D260" s="56" t="s">
        <v>770</v>
      </c>
      <c r="E260" s="56" t="s">
        <v>490</v>
      </c>
      <c r="F260" s="76">
        <v>92000</v>
      </c>
      <c r="G260" s="56" t="s">
        <v>494</v>
      </c>
      <c r="H260" s="56" t="s">
        <v>555</v>
      </c>
      <c r="I260" s="76">
        <f>VLOOKUP(B260,'Caso 2 (Socios)'!$A$4:$G$73,4,FALSE)</f>
        <v>15500</v>
      </c>
      <c r="J260" s="75" t="str">
        <f t="shared" si="9"/>
        <v>Sí</v>
      </c>
      <c r="K260" s="80" t="str">
        <f t="shared" si="10"/>
        <v>⚠️</v>
      </c>
      <c r="L260" s="56" t="str">
        <f t="shared" si="11"/>
        <v>Monto alto + Inconsistencia</v>
      </c>
      <c r="N260" s="2" cm="1">
        <f t="array" ref="N260">SUMPRODUCT(
  (B$4:B260=B260)*
  (E$4:E260="Depósito")*
  (F$4:F260&gt;=15000)*
  (F$4:F260&lt;=49999)*
  (D$4:D260&gt;=D260-5)*
  (D$4:D260&lt;=D260)
)</f>
        <v>0</v>
      </c>
      <c r="O260" s="2" cm="1">
        <f t="array" ref="O260">IF(AND(E260="Retiro",F260&gt;=40000,G260="Sucursal"),
  SUMPRODUCT(
    (B$4:B260=B260)*
    (E$4:E260="Depósito")*
    (F$4:F260&gt;=F260*0.8)*
    (D$4:D260&gt;=D260-3)*
    (D$4:D260&lt;D260)
  ),0)</f>
        <v>0</v>
      </c>
    </row>
    <row r="261" spans="1:15" ht="18" customHeight="1" x14ac:dyDescent="0.25">
      <c r="A261" s="59">
        <v>258</v>
      </c>
      <c r="B261" s="59">
        <v>55</v>
      </c>
      <c r="C261" s="55" t="s">
        <v>64</v>
      </c>
      <c r="D261" s="55" t="s">
        <v>713</v>
      </c>
      <c r="E261" s="55" t="s">
        <v>548</v>
      </c>
      <c r="F261" s="77">
        <v>48000</v>
      </c>
      <c r="G261" s="55" t="s">
        <v>494</v>
      </c>
      <c r="H261" s="55" t="s">
        <v>771</v>
      </c>
      <c r="I261" s="76">
        <f>VLOOKUP(B261,'Caso 2 (Socios)'!$A$4:$G$73,4,FALSE)</f>
        <v>8100</v>
      </c>
      <c r="J261" s="75" t="str">
        <f t="shared" ref="J261:J303" si="12">IF(F261 &gt; I261*3, "Sí", "No")</f>
        <v>Sí</v>
      </c>
      <c r="K261" s="80" t="str">
        <f t="shared" ref="K261:K303" si="13">IF(L261="Normal", "✔️", "⚠️")</f>
        <v>✔️</v>
      </c>
      <c r="L261" s="56" t="str">
        <f t="shared" ref="L261:L303" si="14">IF(AND(E261="Depósito",F261&gt;=50000,F261&gt;I261*3,G261="Sucursal"),"Monto alto + Inconsistencia",IF(AND(E261="Retiro",F261&gt;=50000,F261&gt;I261*3,G261="Sucursal"),"Monto alto + Inconsistencia",IF(AND(E261="Depósito",F261&gt;=50000,G261="Sucursal"),"Monto alto en efectivo",IF(AND(E261="Retiro",F261&gt;=40000,G261="Sucursal",O261&gt;=1),"Retiro inmediato",IF(AND(E261="Depósito",F261&gt;I261*3,F261&gt;=15000),"Inconsistencia de perfil",IF(AND(E261="Depósito",F261&gt;=15000,F261&lt;=49999,N261&gt;=2),"Posible fraccionamiento","Normal"))))))</f>
        <v>Normal</v>
      </c>
      <c r="N261" s="2" cm="1">
        <f t="array" ref="N261">SUMPRODUCT(
  (B$4:B261=B261)*
  (E$4:E261="Depósito")*
  (F$4:F261&gt;=15000)*
  (F$4:F261&lt;=49999)*
  (D$4:D261&gt;=D261-5)*
  (D$4:D261&lt;=D261)
)</f>
        <v>0</v>
      </c>
      <c r="O261" s="2" cm="1">
        <f t="array" ref="O261">IF(AND(E261="Retiro",F261&gt;=40000,G261="Sucursal"),
  SUMPRODUCT(
    (B$4:B261=B261)*
    (E$4:E261="Depósito")*
    (F$4:F261&gt;=F261*0.8)*
    (D$4:D261&gt;=D261-3)*
    (D$4:D261&lt;D261)
  ),0)</f>
        <v>0</v>
      </c>
    </row>
    <row r="262" spans="1:15" ht="18" customHeight="1" x14ac:dyDescent="0.25">
      <c r="A262" s="75">
        <v>259</v>
      </c>
      <c r="B262" s="75">
        <v>56</v>
      </c>
      <c r="C262" s="56" t="s">
        <v>468</v>
      </c>
      <c r="D262" s="56" t="s">
        <v>714</v>
      </c>
      <c r="E262" s="56" t="s">
        <v>490</v>
      </c>
      <c r="F262" s="76">
        <v>18500</v>
      </c>
      <c r="G262" s="56" t="s">
        <v>494</v>
      </c>
      <c r="H262" s="56" t="s">
        <v>557</v>
      </c>
      <c r="I262" s="76">
        <f>VLOOKUP(B262,'Caso 2 (Socios)'!$A$4:$G$73,4,FALSE)</f>
        <v>18000</v>
      </c>
      <c r="J262" s="75" t="str">
        <f t="shared" si="12"/>
        <v>No</v>
      </c>
      <c r="K262" s="80" t="str">
        <f t="shared" si="13"/>
        <v>⚠️</v>
      </c>
      <c r="L262" s="56" t="str">
        <f t="shared" si="14"/>
        <v>Posible fraccionamiento</v>
      </c>
      <c r="N262" s="2" cm="1">
        <f t="array" ref="N262">SUMPRODUCT(
  (B$4:B262=B262)*
  (E$4:E262="Depósito")*
  (F$4:F262&gt;=15000)*
  (F$4:F262&lt;=49999)*
  (D$4:D262&gt;=D262-5)*
  (D$4:D262&lt;=D262)
)</f>
        <v>3</v>
      </c>
      <c r="O262" s="2" cm="1">
        <f t="array" ref="O262">IF(AND(E262="Retiro",F262&gt;=40000,G262="Sucursal"),
  SUMPRODUCT(
    (B$4:B262=B262)*
    (E$4:E262="Depósito")*
    (F$4:F262&gt;=F262*0.8)*
    (D$4:D262&gt;=D262-3)*
    (D$4:D262&lt;D262)
  ),0)</f>
        <v>0</v>
      </c>
    </row>
    <row r="263" spans="1:15" ht="18" customHeight="1" x14ac:dyDescent="0.25">
      <c r="A263" s="59">
        <v>260</v>
      </c>
      <c r="B263" s="59">
        <v>57</v>
      </c>
      <c r="C263" s="55" t="s">
        <v>469</v>
      </c>
      <c r="D263" s="55" t="s">
        <v>772</v>
      </c>
      <c r="E263" s="55" t="s">
        <v>490</v>
      </c>
      <c r="F263" s="77">
        <v>4800</v>
      </c>
      <c r="G263" s="55" t="s">
        <v>491</v>
      </c>
      <c r="H263" s="55" t="s">
        <v>513</v>
      </c>
      <c r="I263" s="76">
        <f>VLOOKUP(B263,'Caso 2 (Socios)'!$A$4:$G$73,4,FALSE)</f>
        <v>4500</v>
      </c>
      <c r="J263" s="75" t="str">
        <f t="shared" si="12"/>
        <v>No</v>
      </c>
      <c r="K263" s="80" t="str">
        <f t="shared" si="13"/>
        <v>✔️</v>
      </c>
      <c r="L263" s="56" t="str">
        <f t="shared" si="14"/>
        <v>Normal</v>
      </c>
      <c r="N263" s="2" cm="1">
        <f t="array" ref="N263">SUMPRODUCT(
  (B$4:B263=B263)*
  (E$4:E263="Depósito")*
  (F$4:F263&gt;=15000)*
  (F$4:F263&lt;=49999)*
  (D$4:D263&gt;=D263-5)*
  (D$4:D263&lt;=D263)
)</f>
        <v>0</v>
      </c>
      <c r="O263" s="2" cm="1">
        <f t="array" ref="O263">IF(AND(E263="Retiro",F263&gt;=40000,G263="Sucursal"),
  SUMPRODUCT(
    (B$4:B263=B263)*
    (E$4:E263="Depósito")*
    (F$4:F263&gt;=F263*0.8)*
    (D$4:D263&gt;=D263-3)*
    (D$4:D263&lt;D263)
  ),0)</f>
        <v>0</v>
      </c>
    </row>
    <row r="264" spans="1:15" ht="18" customHeight="1" x14ac:dyDescent="0.25">
      <c r="A264" s="75">
        <v>261</v>
      </c>
      <c r="B264" s="75">
        <v>59</v>
      </c>
      <c r="C264" s="56" t="s">
        <v>471</v>
      </c>
      <c r="D264" s="56" t="s">
        <v>716</v>
      </c>
      <c r="E264" s="56" t="s">
        <v>490</v>
      </c>
      <c r="F264" s="76">
        <v>6300</v>
      </c>
      <c r="G264" s="56" t="s">
        <v>491</v>
      </c>
      <c r="H264" s="56" t="s">
        <v>513</v>
      </c>
      <c r="I264" s="76">
        <f>VLOOKUP(B264,'Caso 2 (Socios)'!$A$4:$G$73,4,FALSE)</f>
        <v>6000</v>
      </c>
      <c r="J264" s="75" t="str">
        <f t="shared" si="12"/>
        <v>No</v>
      </c>
      <c r="K264" s="80" t="str">
        <f t="shared" si="13"/>
        <v>✔️</v>
      </c>
      <c r="L264" s="56" t="str">
        <f t="shared" si="14"/>
        <v>Normal</v>
      </c>
      <c r="N264" s="2" cm="1">
        <f t="array" ref="N264">SUMPRODUCT(
  (B$4:B264=B264)*
  (E$4:E264="Depósito")*
  (F$4:F264&gt;=15000)*
  (F$4:F264&lt;=49999)*
  (D$4:D264&gt;=D264-5)*
  (D$4:D264&lt;=D264)
)</f>
        <v>0</v>
      </c>
      <c r="O264" s="2" cm="1">
        <f t="array" ref="O264">IF(AND(E264="Retiro",F264&gt;=40000,G264="Sucursal"),
  SUMPRODUCT(
    (B$4:B264=B264)*
    (E$4:E264="Depósito")*
    (F$4:F264&gt;=F264*0.8)*
    (D$4:D264&gt;=D264-3)*
    (D$4:D264&lt;D264)
  ),0)</f>
        <v>0</v>
      </c>
    </row>
    <row r="265" spans="1:15" ht="18" customHeight="1" x14ac:dyDescent="0.25">
      <c r="A265" s="59">
        <v>262</v>
      </c>
      <c r="B265" s="59">
        <v>60</v>
      </c>
      <c r="C265" s="55" t="s">
        <v>472</v>
      </c>
      <c r="D265" s="55" t="s">
        <v>717</v>
      </c>
      <c r="E265" s="55" t="s">
        <v>490</v>
      </c>
      <c r="F265" s="77">
        <v>85000</v>
      </c>
      <c r="G265" s="55" t="s">
        <v>494</v>
      </c>
      <c r="H265" s="55" t="s">
        <v>773</v>
      </c>
      <c r="I265" s="76">
        <f>VLOOKUP(B265,'Caso 2 (Socios)'!$A$4:$G$73,4,FALSE)</f>
        <v>22000</v>
      </c>
      <c r="J265" s="75" t="str">
        <f t="shared" si="12"/>
        <v>Sí</v>
      </c>
      <c r="K265" s="80" t="str">
        <f t="shared" si="13"/>
        <v>⚠️</v>
      </c>
      <c r="L265" s="56" t="str">
        <f t="shared" si="14"/>
        <v>Monto alto + Inconsistencia</v>
      </c>
      <c r="N265" s="2" cm="1">
        <f t="array" ref="N265">SUMPRODUCT(
  (B$4:B265=B265)*
  (E$4:E265="Depósito")*
  (F$4:F265&gt;=15000)*
  (F$4:F265&lt;=49999)*
  (D$4:D265&gt;=D265-5)*
  (D$4:D265&lt;=D265)
)</f>
        <v>3</v>
      </c>
      <c r="O265" s="2" cm="1">
        <f t="array" ref="O265">IF(AND(E265="Retiro",F265&gt;=40000,G265="Sucursal"),
  SUMPRODUCT(
    (B$4:B265=B265)*
    (E$4:E265="Depósito")*
    (F$4:F265&gt;=F265*0.8)*
    (D$4:D265&gt;=D265-3)*
    (D$4:D265&lt;D265)
  ),0)</f>
        <v>0</v>
      </c>
    </row>
    <row r="266" spans="1:15" ht="18" customHeight="1" x14ac:dyDescent="0.25">
      <c r="A266" s="75">
        <v>263</v>
      </c>
      <c r="B266" s="75">
        <v>13</v>
      </c>
      <c r="C266" s="56" t="s">
        <v>23</v>
      </c>
      <c r="D266" s="56" t="s">
        <v>718</v>
      </c>
      <c r="E266" s="56" t="s">
        <v>490</v>
      </c>
      <c r="F266" s="76">
        <v>9200</v>
      </c>
      <c r="G266" s="56" t="s">
        <v>494</v>
      </c>
      <c r="H266" s="56" t="s">
        <v>561</v>
      </c>
      <c r="I266" s="76">
        <f>VLOOKUP(B266,'Caso 2 (Socios)'!$A$4:$G$73,4,FALSE)</f>
        <v>9000</v>
      </c>
      <c r="J266" s="75" t="str">
        <f t="shared" si="12"/>
        <v>No</v>
      </c>
      <c r="K266" s="80" t="str">
        <f t="shared" si="13"/>
        <v>✔️</v>
      </c>
      <c r="L266" s="56" t="str">
        <f t="shared" si="14"/>
        <v>Normal</v>
      </c>
      <c r="N266" s="2" cm="1">
        <f t="array" ref="N266">SUMPRODUCT(
  (B$4:B266=B266)*
  (E$4:E266="Depósito")*
  (F$4:F266&gt;=15000)*
  (F$4:F266&lt;=49999)*
  (D$4:D266&gt;=D266-5)*
  (D$4:D266&lt;=D266)
)</f>
        <v>0</v>
      </c>
      <c r="O266" s="2" cm="1">
        <f t="array" ref="O266">IF(AND(E266="Retiro",F266&gt;=40000,G266="Sucursal"),
  SUMPRODUCT(
    (B$4:B266=B266)*
    (E$4:E266="Depósito")*
    (F$4:F266&gt;=F266*0.8)*
    (D$4:D266&gt;=D266-3)*
    (D$4:D266&lt;D266)
  ),0)</f>
        <v>0</v>
      </c>
    </row>
    <row r="267" spans="1:15" ht="18" customHeight="1" x14ac:dyDescent="0.25">
      <c r="A267" s="59">
        <v>264</v>
      </c>
      <c r="B267" s="59">
        <v>17</v>
      </c>
      <c r="C267" s="55" t="s">
        <v>27</v>
      </c>
      <c r="D267" s="55" t="s">
        <v>719</v>
      </c>
      <c r="E267" s="55" t="s">
        <v>490</v>
      </c>
      <c r="F267" s="77">
        <v>115000</v>
      </c>
      <c r="G267" s="55" t="s">
        <v>494</v>
      </c>
      <c r="H267" s="55" t="s">
        <v>617</v>
      </c>
      <c r="I267" s="76">
        <f>VLOOKUP(B267,'Caso 2 (Socios)'!$A$4:$G$73,4,FALSE)</f>
        <v>16000</v>
      </c>
      <c r="J267" s="75" t="str">
        <f t="shared" si="12"/>
        <v>Sí</v>
      </c>
      <c r="K267" s="80" t="str">
        <f t="shared" si="13"/>
        <v>⚠️</v>
      </c>
      <c r="L267" s="56" t="str">
        <f t="shared" si="14"/>
        <v>Monto alto + Inconsistencia</v>
      </c>
      <c r="N267" s="2" cm="1">
        <f t="array" ref="N267">SUMPRODUCT(
  (B$4:B267=B267)*
  (E$4:E267="Depósito")*
  (F$4:F267&gt;=15000)*
  (F$4:F267&lt;=49999)*
  (D$4:D267&gt;=D267-5)*
  (D$4:D267&lt;=D267)
)</f>
        <v>1</v>
      </c>
      <c r="O267" s="2" cm="1">
        <f t="array" ref="O267">IF(AND(E267="Retiro",F267&gt;=40000,G267="Sucursal"),
  SUMPRODUCT(
    (B$4:B267=B267)*
    (E$4:E267="Depósito")*
    (F$4:F267&gt;=F267*0.8)*
    (D$4:D267&gt;=D267-3)*
    (D$4:D267&lt;D267)
  ),0)</f>
        <v>0</v>
      </c>
    </row>
    <row r="268" spans="1:15" ht="18" customHeight="1" x14ac:dyDescent="0.25">
      <c r="A268" s="75">
        <v>265</v>
      </c>
      <c r="B268" s="75">
        <v>20</v>
      </c>
      <c r="C268" s="56" t="s">
        <v>30</v>
      </c>
      <c r="D268" s="56" t="s">
        <v>774</v>
      </c>
      <c r="E268" s="56" t="s">
        <v>490</v>
      </c>
      <c r="F268" s="76">
        <v>7100</v>
      </c>
      <c r="G268" s="56" t="s">
        <v>491</v>
      </c>
      <c r="H268" s="56" t="s">
        <v>529</v>
      </c>
      <c r="I268" s="76">
        <f>VLOOKUP(B268,'Caso 2 (Socios)'!$A$4:$G$73,4,FALSE)</f>
        <v>6800</v>
      </c>
      <c r="J268" s="75" t="str">
        <f t="shared" si="12"/>
        <v>No</v>
      </c>
      <c r="K268" s="80" t="str">
        <f t="shared" si="13"/>
        <v>✔️</v>
      </c>
      <c r="L268" s="56" t="str">
        <f t="shared" si="14"/>
        <v>Normal</v>
      </c>
      <c r="N268" s="2" cm="1">
        <f t="array" ref="N268">SUMPRODUCT(
  (B$4:B268=B268)*
  (E$4:E268="Depósito")*
  (F$4:F268&gt;=15000)*
  (F$4:F268&lt;=49999)*
  (D$4:D268&gt;=D268-5)*
  (D$4:D268&lt;=D268)
)</f>
        <v>0</v>
      </c>
      <c r="O268" s="2" cm="1">
        <f t="array" ref="O268">IF(AND(E268="Retiro",F268&gt;=40000,G268="Sucursal"),
  SUMPRODUCT(
    (B$4:B268=B268)*
    (E$4:E268="Depósito")*
    (F$4:F268&gt;=F268*0.8)*
    (D$4:D268&gt;=D268-3)*
    (D$4:D268&lt;D268)
  ),0)</f>
        <v>0</v>
      </c>
    </row>
    <row r="269" spans="1:15" ht="18" customHeight="1" x14ac:dyDescent="0.25">
      <c r="A269" s="59">
        <v>266</v>
      </c>
      <c r="B269" s="59">
        <v>25</v>
      </c>
      <c r="C269" s="55" t="s">
        <v>35</v>
      </c>
      <c r="D269" s="55" t="s">
        <v>722</v>
      </c>
      <c r="E269" s="55" t="s">
        <v>490</v>
      </c>
      <c r="F269" s="77">
        <v>9800</v>
      </c>
      <c r="G269" s="55" t="s">
        <v>494</v>
      </c>
      <c r="H269" s="55" t="s">
        <v>553</v>
      </c>
      <c r="I269" s="76">
        <f>VLOOKUP(B269,'Caso 2 (Socios)'!$A$4:$G$73,4,FALSE)</f>
        <v>9200</v>
      </c>
      <c r="J269" s="75" t="str">
        <f t="shared" si="12"/>
        <v>No</v>
      </c>
      <c r="K269" s="80" t="str">
        <f t="shared" si="13"/>
        <v>✔️</v>
      </c>
      <c r="L269" s="56" t="str">
        <f t="shared" si="14"/>
        <v>Normal</v>
      </c>
      <c r="N269" s="2" cm="1">
        <f t="array" ref="N269">SUMPRODUCT(
  (B$4:B269=B269)*
  (E$4:E269="Depósito")*
  (F$4:F269&gt;=15000)*
  (F$4:F269&lt;=49999)*
  (D$4:D269&gt;=D269-5)*
  (D$4:D269&lt;=D269)
)</f>
        <v>0</v>
      </c>
      <c r="O269" s="2" cm="1">
        <f t="array" ref="O269">IF(AND(E269="Retiro",F269&gt;=40000,G269="Sucursal"),
  SUMPRODUCT(
    (B$4:B269=B269)*
    (E$4:E269="Depósito")*
    (F$4:F269&gt;=F269*0.8)*
    (D$4:D269&gt;=D269-3)*
    (D$4:D269&lt;D269)
  ),0)</f>
        <v>0</v>
      </c>
    </row>
    <row r="270" spans="1:15" ht="18" customHeight="1" x14ac:dyDescent="0.25">
      <c r="A270" s="75">
        <v>267</v>
      </c>
      <c r="B270" s="75">
        <v>27</v>
      </c>
      <c r="C270" s="56" t="s">
        <v>37</v>
      </c>
      <c r="D270" s="56" t="s">
        <v>723</v>
      </c>
      <c r="E270" s="56" t="s">
        <v>490</v>
      </c>
      <c r="F270" s="76">
        <v>48000</v>
      </c>
      <c r="G270" s="56" t="s">
        <v>494</v>
      </c>
      <c r="H270" s="56" t="s">
        <v>635</v>
      </c>
      <c r="I270" s="76">
        <f>VLOOKUP(B270,'Caso 2 (Socios)'!$A$4:$G$73,4,FALSE)</f>
        <v>11000</v>
      </c>
      <c r="J270" s="75" t="str">
        <f t="shared" si="12"/>
        <v>Sí</v>
      </c>
      <c r="K270" s="80" t="str">
        <f t="shared" si="13"/>
        <v>⚠️</v>
      </c>
      <c r="L270" s="56" t="str">
        <f t="shared" si="14"/>
        <v>Inconsistencia de perfil</v>
      </c>
      <c r="N270" s="2" cm="1">
        <f t="array" ref="N270">SUMPRODUCT(
  (B$4:B270=B270)*
  (E$4:E270="Depósito")*
  (F$4:F270&gt;=15000)*
  (F$4:F270&lt;=49999)*
  (D$4:D270&gt;=D270-5)*
  (D$4:D270&lt;=D270)
)</f>
        <v>1</v>
      </c>
      <c r="O270" s="2" cm="1">
        <f t="array" ref="O270">IF(AND(E270="Retiro",F270&gt;=40000,G270="Sucursal"),
  SUMPRODUCT(
    (B$4:B270=B270)*
    (E$4:E270="Depósito")*
    (F$4:F270&gt;=F270*0.8)*
    (D$4:D270&gt;=D270-3)*
    (D$4:D270&lt;D270)
  ),0)</f>
        <v>0</v>
      </c>
    </row>
    <row r="271" spans="1:15" ht="18" customHeight="1" x14ac:dyDescent="0.25">
      <c r="A271" s="59">
        <v>268</v>
      </c>
      <c r="B271" s="59">
        <v>31</v>
      </c>
      <c r="C271" s="55" t="s">
        <v>41</v>
      </c>
      <c r="D271" s="55" t="s">
        <v>724</v>
      </c>
      <c r="E271" s="55" t="s">
        <v>490</v>
      </c>
      <c r="F271" s="77">
        <v>25000</v>
      </c>
      <c r="G271" s="55" t="s">
        <v>494</v>
      </c>
      <c r="H271" s="55" t="s">
        <v>524</v>
      </c>
      <c r="I271" s="76">
        <f>VLOOKUP(B271,'Caso 2 (Socios)'!$A$4:$G$73,4,FALSE)</f>
        <v>25000</v>
      </c>
      <c r="J271" s="75" t="str">
        <f t="shared" si="12"/>
        <v>No</v>
      </c>
      <c r="K271" s="80" t="str">
        <f t="shared" si="13"/>
        <v>✔️</v>
      </c>
      <c r="L271" s="56" t="str">
        <f t="shared" si="14"/>
        <v>Normal</v>
      </c>
      <c r="N271" s="2" cm="1">
        <f t="array" ref="N271">SUMPRODUCT(
  (B$4:B271=B271)*
  (E$4:E271="Depósito")*
  (F$4:F271&gt;=15000)*
  (F$4:F271&lt;=49999)*
  (D$4:D271&gt;=D271-5)*
  (D$4:D271&lt;=D271)
)</f>
        <v>1</v>
      </c>
      <c r="O271" s="2" cm="1">
        <f t="array" ref="O271">IF(AND(E271="Retiro",F271&gt;=40000,G271="Sucursal"),
  SUMPRODUCT(
    (B$4:B271=B271)*
    (E$4:E271="Depósito")*
    (F$4:F271&gt;=F271*0.8)*
    (D$4:D271&gt;=D271-3)*
    (D$4:D271&lt;D271)
  ),0)</f>
        <v>0</v>
      </c>
    </row>
    <row r="272" spans="1:15" ht="18" customHeight="1" x14ac:dyDescent="0.25">
      <c r="A272" s="75">
        <v>269</v>
      </c>
      <c r="B272" s="75">
        <v>40</v>
      </c>
      <c r="C272" s="56" t="s">
        <v>49</v>
      </c>
      <c r="D272" s="56" t="s">
        <v>725</v>
      </c>
      <c r="E272" s="56" t="s">
        <v>490</v>
      </c>
      <c r="F272" s="76">
        <v>11500</v>
      </c>
      <c r="G272" s="56" t="s">
        <v>491</v>
      </c>
      <c r="H272" s="56" t="s">
        <v>497</v>
      </c>
      <c r="I272" s="76">
        <f>VLOOKUP(B272,'Caso 2 (Socios)'!$A$4:$G$73,4,FALSE)</f>
        <v>11200</v>
      </c>
      <c r="J272" s="75" t="str">
        <f t="shared" si="12"/>
        <v>No</v>
      </c>
      <c r="K272" s="80" t="str">
        <f t="shared" si="13"/>
        <v>✔️</v>
      </c>
      <c r="L272" s="56" t="str">
        <f t="shared" si="14"/>
        <v>Normal</v>
      </c>
      <c r="N272" s="2" cm="1">
        <f t="array" ref="N272">SUMPRODUCT(
  (B$4:B272=B272)*
  (E$4:E272="Depósito")*
  (F$4:F272&gt;=15000)*
  (F$4:F272&lt;=49999)*
  (D$4:D272&gt;=D272-5)*
  (D$4:D272&lt;=D272)
)</f>
        <v>0</v>
      </c>
      <c r="O272" s="2" cm="1">
        <f t="array" ref="O272">IF(AND(E272="Retiro",F272&gt;=40000,G272="Sucursal"),
  SUMPRODUCT(
    (B$4:B272=B272)*
    (E$4:E272="Depósito")*
    (F$4:F272&gt;=F272*0.8)*
    (D$4:D272&gt;=D272-3)*
    (D$4:D272&lt;D272)
  ),0)</f>
        <v>0</v>
      </c>
    </row>
    <row r="273" spans="1:15" ht="18" customHeight="1" x14ac:dyDescent="0.25">
      <c r="A273" s="59">
        <v>270</v>
      </c>
      <c r="B273" s="59">
        <v>43</v>
      </c>
      <c r="C273" s="55" t="s">
        <v>52</v>
      </c>
      <c r="D273" s="55" t="s">
        <v>726</v>
      </c>
      <c r="E273" s="55" t="s">
        <v>548</v>
      </c>
      <c r="F273" s="77">
        <v>45000</v>
      </c>
      <c r="G273" s="55" t="s">
        <v>494</v>
      </c>
      <c r="H273" s="55" t="s">
        <v>572</v>
      </c>
      <c r="I273" s="76">
        <f>VLOOKUP(B273,'Caso 2 (Socios)'!$A$4:$G$73,4,FALSE)</f>
        <v>8400</v>
      </c>
      <c r="J273" s="75" t="str">
        <f t="shared" si="12"/>
        <v>Sí</v>
      </c>
      <c r="K273" s="80" t="str">
        <f t="shared" si="13"/>
        <v>✔️</v>
      </c>
      <c r="L273" s="56" t="str">
        <f t="shared" si="14"/>
        <v>Normal</v>
      </c>
      <c r="N273" s="2" cm="1">
        <f t="array" ref="N273">SUMPRODUCT(
  (B$4:B273=B273)*
  (E$4:E273="Depósito")*
  (F$4:F273&gt;=15000)*
  (F$4:F273&lt;=49999)*
  (D$4:D273&gt;=D273-5)*
  (D$4:D273&lt;=D273)
)</f>
        <v>0</v>
      </c>
      <c r="O273" s="2" cm="1">
        <f t="array" ref="O273">IF(AND(E273="Retiro",F273&gt;=40000,G273="Sucursal"),
  SUMPRODUCT(
    (B$4:B273=B273)*
    (E$4:E273="Depósito")*
    (F$4:F273&gt;=F273*0.8)*
    (D$4:D273&gt;=D273-3)*
    (D$4:D273&lt;D273)
  ),0)</f>
        <v>0</v>
      </c>
    </row>
    <row r="274" spans="1:15" ht="18" customHeight="1" x14ac:dyDescent="0.25">
      <c r="A274" s="75">
        <v>271</v>
      </c>
      <c r="B274" s="75">
        <v>47</v>
      </c>
      <c r="C274" s="56" t="s">
        <v>56</v>
      </c>
      <c r="D274" s="56" t="s">
        <v>727</v>
      </c>
      <c r="E274" s="56" t="s">
        <v>490</v>
      </c>
      <c r="F274" s="76">
        <v>9500</v>
      </c>
      <c r="G274" s="56" t="s">
        <v>494</v>
      </c>
      <c r="H274" s="56" t="s">
        <v>553</v>
      </c>
      <c r="I274" s="76">
        <f>VLOOKUP(B274,'Caso 2 (Socios)'!$A$4:$G$73,4,FALSE)</f>
        <v>9000</v>
      </c>
      <c r="J274" s="75" t="str">
        <f t="shared" si="12"/>
        <v>No</v>
      </c>
      <c r="K274" s="80" t="str">
        <f t="shared" si="13"/>
        <v>✔️</v>
      </c>
      <c r="L274" s="56" t="str">
        <f t="shared" si="14"/>
        <v>Normal</v>
      </c>
      <c r="N274" s="2" cm="1">
        <f t="array" ref="N274">SUMPRODUCT(
  (B$4:B274=B274)*
  (E$4:E274="Depósito")*
  (F$4:F274&gt;=15000)*
  (F$4:F274&lt;=49999)*
  (D$4:D274&gt;=D274-5)*
  (D$4:D274&lt;=D274)
)</f>
        <v>0</v>
      </c>
      <c r="O274" s="2" cm="1">
        <f t="array" ref="O274">IF(AND(E274="Retiro",F274&gt;=40000,G274="Sucursal"),
  SUMPRODUCT(
    (B$4:B274=B274)*
    (E$4:E274="Depósito")*
    (F$4:F274&gt;=F274*0.8)*
    (D$4:D274&gt;=D274-3)*
    (D$4:D274&lt;D274)
  ),0)</f>
        <v>0</v>
      </c>
    </row>
    <row r="275" spans="1:15" ht="18" customHeight="1" x14ac:dyDescent="0.25">
      <c r="A275" s="59">
        <v>272</v>
      </c>
      <c r="B275" s="59">
        <v>8</v>
      </c>
      <c r="C275" s="55" t="s">
        <v>10</v>
      </c>
      <c r="D275" s="55" t="s">
        <v>728</v>
      </c>
      <c r="E275" s="55" t="s">
        <v>490</v>
      </c>
      <c r="F275" s="77">
        <v>6800</v>
      </c>
      <c r="G275" s="55" t="s">
        <v>491</v>
      </c>
      <c r="H275" s="55" t="s">
        <v>513</v>
      </c>
      <c r="I275" s="76">
        <f>VLOOKUP(B275,'Caso 2 (Socios)'!$A$4:$G$73,4,FALSE)</f>
        <v>6000</v>
      </c>
      <c r="J275" s="75" t="str">
        <f t="shared" si="12"/>
        <v>No</v>
      </c>
      <c r="K275" s="80" t="str">
        <f t="shared" si="13"/>
        <v>✔️</v>
      </c>
      <c r="L275" s="56" t="str">
        <f t="shared" si="14"/>
        <v>Normal</v>
      </c>
      <c r="N275" s="2" cm="1">
        <f t="array" ref="N275">SUMPRODUCT(
  (B$4:B275=B275)*
  (E$4:E275="Depósito")*
  (F$4:F275&gt;=15000)*
  (F$4:F275&lt;=49999)*
  (D$4:D275&gt;=D275-5)*
  (D$4:D275&lt;=D275)
)</f>
        <v>0</v>
      </c>
      <c r="O275" s="2" cm="1">
        <f t="array" ref="O275">IF(AND(E275="Retiro",F275&gt;=40000,G275="Sucursal"),
  SUMPRODUCT(
    (B$4:B275=B275)*
    (E$4:E275="Depósito")*
    (F$4:F275&gt;=F275*0.8)*
    (D$4:D275&gt;=D275-3)*
    (D$4:D275&lt;D275)
  ),0)</f>
        <v>0</v>
      </c>
    </row>
    <row r="276" spans="1:15" ht="18" customHeight="1" x14ac:dyDescent="0.25">
      <c r="A276" s="75">
        <v>273</v>
      </c>
      <c r="B276" s="75">
        <v>14</v>
      </c>
      <c r="C276" s="56" t="s">
        <v>24</v>
      </c>
      <c r="D276" s="56" t="s">
        <v>775</v>
      </c>
      <c r="E276" s="56" t="s">
        <v>490</v>
      </c>
      <c r="F276" s="76">
        <v>13200</v>
      </c>
      <c r="G276" s="56" t="s">
        <v>494</v>
      </c>
      <c r="H276" s="56" t="s">
        <v>497</v>
      </c>
      <c r="I276" s="76">
        <f>VLOOKUP(B276,'Caso 2 (Socios)'!$A$4:$G$73,4,FALSE)</f>
        <v>13000</v>
      </c>
      <c r="J276" s="75" t="str">
        <f t="shared" si="12"/>
        <v>No</v>
      </c>
      <c r="K276" s="80" t="str">
        <f t="shared" si="13"/>
        <v>✔️</v>
      </c>
      <c r="L276" s="56" t="str">
        <f t="shared" si="14"/>
        <v>Normal</v>
      </c>
      <c r="N276" s="2" cm="1">
        <f t="array" ref="N276">SUMPRODUCT(
  (B$4:B276=B276)*
  (E$4:E276="Depósito")*
  (F$4:F276&gt;=15000)*
  (F$4:F276&lt;=49999)*
  (D$4:D276&gt;=D276-5)*
  (D$4:D276&lt;=D276)
)</f>
        <v>0</v>
      </c>
      <c r="O276" s="2" cm="1">
        <f t="array" ref="O276">IF(AND(E276="Retiro",F276&gt;=40000,G276="Sucursal"),
  SUMPRODUCT(
    (B$4:B276=B276)*
    (E$4:E276="Depósito")*
    (F$4:F276&gt;=F276*0.8)*
    (D$4:D276&gt;=D276-3)*
    (D$4:D276&lt;D276)
  ),0)</f>
        <v>0</v>
      </c>
    </row>
    <row r="277" spans="1:15" ht="18" customHeight="1" x14ac:dyDescent="0.25">
      <c r="A277" s="59">
        <v>274</v>
      </c>
      <c r="B277" s="59">
        <v>18</v>
      </c>
      <c r="C277" s="55" t="s">
        <v>28</v>
      </c>
      <c r="D277" s="55" t="s">
        <v>729</v>
      </c>
      <c r="E277" s="55" t="s">
        <v>490</v>
      </c>
      <c r="F277" s="77">
        <v>7800</v>
      </c>
      <c r="G277" s="55" t="s">
        <v>491</v>
      </c>
      <c r="H277" s="55" t="s">
        <v>497</v>
      </c>
      <c r="I277" s="76">
        <f>VLOOKUP(B277,'Caso 2 (Socios)'!$A$4:$G$73,4,FALSE)</f>
        <v>7500</v>
      </c>
      <c r="J277" s="75" t="str">
        <f t="shared" si="12"/>
        <v>No</v>
      </c>
      <c r="K277" s="80" t="str">
        <f t="shared" si="13"/>
        <v>✔️</v>
      </c>
      <c r="L277" s="56" t="str">
        <f t="shared" si="14"/>
        <v>Normal</v>
      </c>
      <c r="N277" s="2" cm="1">
        <f t="array" ref="N277">SUMPRODUCT(
  (B$4:B277=B277)*
  (E$4:E277="Depósito")*
  (F$4:F277&gt;=15000)*
  (F$4:F277&lt;=49999)*
  (D$4:D277&gt;=D277-5)*
  (D$4:D277&lt;=D277)
)</f>
        <v>0</v>
      </c>
      <c r="O277" s="2" cm="1">
        <f t="array" ref="O277">IF(AND(E277="Retiro",F277&gt;=40000,G277="Sucursal"),
  SUMPRODUCT(
    (B$4:B277=B277)*
    (E$4:E277="Depósito")*
    (F$4:F277&gt;=F277*0.8)*
    (D$4:D277&gt;=D277-3)*
    (D$4:D277&lt;D277)
  ),0)</f>
        <v>0</v>
      </c>
    </row>
    <row r="278" spans="1:15" ht="18" customHeight="1" x14ac:dyDescent="0.25">
      <c r="A278" s="75">
        <v>275</v>
      </c>
      <c r="B278" s="75">
        <v>21</v>
      </c>
      <c r="C278" s="56" t="s">
        <v>31</v>
      </c>
      <c r="D278" s="56" t="s">
        <v>776</v>
      </c>
      <c r="E278" s="56" t="s">
        <v>490</v>
      </c>
      <c r="F278" s="76">
        <v>58000</v>
      </c>
      <c r="G278" s="56" t="s">
        <v>494</v>
      </c>
      <c r="H278" s="56" t="s">
        <v>541</v>
      </c>
      <c r="I278" s="76">
        <f>VLOOKUP(B278,'Caso 2 (Socios)'!$A$4:$G$73,4,FALSE)</f>
        <v>10500</v>
      </c>
      <c r="J278" s="75" t="str">
        <f t="shared" si="12"/>
        <v>Sí</v>
      </c>
      <c r="K278" s="80" t="str">
        <f t="shared" si="13"/>
        <v>⚠️</v>
      </c>
      <c r="L278" s="56" t="str">
        <f t="shared" si="14"/>
        <v>Monto alto + Inconsistencia</v>
      </c>
      <c r="N278" s="2" cm="1">
        <f t="array" ref="N278">SUMPRODUCT(
  (B$4:B278=B278)*
  (E$4:E278="Depósito")*
  (F$4:F278&gt;=15000)*
  (F$4:F278&lt;=49999)*
  (D$4:D278&gt;=D278-5)*
  (D$4:D278&lt;=D278)
)</f>
        <v>0</v>
      </c>
      <c r="O278" s="2" cm="1">
        <f t="array" ref="O278">IF(AND(E278="Retiro",F278&gt;=40000,G278="Sucursal"),
  SUMPRODUCT(
    (B$4:B278=B278)*
    (E$4:E278="Depósito")*
    (F$4:F278&gt;=F278*0.8)*
    (D$4:D278&gt;=D278-3)*
    (D$4:D278&lt;D278)
  ),0)</f>
        <v>0</v>
      </c>
    </row>
    <row r="279" spans="1:15" ht="18" customHeight="1" x14ac:dyDescent="0.25">
      <c r="A279" s="59">
        <v>276</v>
      </c>
      <c r="B279" s="59">
        <v>29</v>
      </c>
      <c r="C279" s="55" t="s">
        <v>39</v>
      </c>
      <c r="D279" s="55" t="s">
        <v>731</v>
      </c>
      <c r="E279" s="55" t="s">
        <v>490</v>
      </c>
      <c r="F279" s="77">
        <v>17800</v>
      </c>
      <c r="G279" s="55" t="s">
        <v>494</v>
      </c>
      <c r="H279" s="55" t="s">
        <v>517</v>
      </c>
      <c r="I279" s="76">
        <f>VLOOKUP(B279,'Caso 2 (Socios)'!$A$4:$G$73,4,FALSE)</f>
        <v>17500</v>
      </c>
      <c r="J279" s="75" t="str">
        <f t="shared" si="12"/>
        <v>No</v>
      </c>
      <c r="K279" s="80" t="str">
        <f t="shared" si="13"/>
        <v>✔️</v>
      </c>
      <c r="L279" s="56" t="str">
        <f t="shared" si="14"/>
        <v>Normal</v>
      </c>
      <c r="N279" s="2" cm="1">
        <f t="array" ref="N279">SUMPRODUCT(
  (B$4:B279=B279)*
  (E$4:E279="Depósito")*
  (F$4:F279&gt;=15000)*
  (F$4:F279&lt;=49999)*
  (D$4:D279&gt;=D279-5)*
  (D$4:D279&lt;=D279)
)</f>
        <v>1</v>
      </c>
      <c r="O279" s="2" cm="1">
        <f t="array" ref="O279">IF(AND(E279="Retiro",F279&gt;=40000,G279="Sucursal"),
  SUMPRODUCT(
    (B$4:B279=B279)*
    (E$4:E279="Depósito")*
    (F$4:F279&gt;=F279*0.8)*
    (D$4:D279&gt;=D279-3)*
    (D$4:D279&lt;D279)
  ),0)</f>
        <v>0</v>
      </c>
    </row>
    <row r="280" spans="1:15" ht="18" customHeight="1" x14ac:dyDescent="0.25">
      <c r="A280" s="75">
        <v>277</v>
      </c>
      <c r="B280" s="75">
        <v>33</v>
      </c>
      <c r="C280" s="56" t="s">
        <v>42</v>
      </c>
      <c r="D280" s="56" t="s">
        <v>732</v>
      </c>
      <c r="E280" s="56" t="s">
        <v>490</v>
      </c>
      <c r="F280" s="76">
        <v>50000</v>
      </c>
      <c r="G280" s="56" t="s">
        <v>494</v>
      </c>
      <c r="H280" s="56" t="s">
        <v>561</v>
      </c>
      <c r="I280" s="76">
        <f>VLOOKUP(B280,'Caso 2 (Socios)'!$A$4:$G$73,4,FALSE)</f>
        <v>8700</v>
      </c>
      <c r="J280" s="75" t="str">
        <f t="shared" si="12"/>
        <v>Sí</v>
      </c>
      <c r="K280" s="80" t="str">
        <f t="shared" si="13"/>
        <v>⚠️</v>
      </c>
      <c r="L280" s="56" t="str">
        <f t="shared" si="14"/>
        <v>Monto alto + Inconsistencia</v>
      </c>
      <c r="N280" s="2" cm="1">
        <f t="array" ref="N280">SUMPRODUCT(
  (B$4:B280=B280)*
  (E$4:E280="Depósito")*
  (F$4:F280&gt;=15000)*
  (F$4:F280&lt;=49999)*
  (D$4:D280&gt;=D280-5)*
  (D$4:D280&lt;=D280)
)</f>
        <v>0</v>
      </c>
      <c r="O280" s="2" cm="1">
        <f t="array" ref="O280">IF(AND(E280="Retiro",F280&gt;=40000,G280="Sucursal"),
  SUMPRODUCT(
    (B$4:B280=B280)*
    (E$4:E280="Depósito")*
    (F$4:F280&gt;=F280*0.8)*
    (D$4:D280&gt;=D280-3)*
    (D$4:D280&lt;D280)
  ),0)</f>
        <v>0</v>
      </c>
    </row>
    <row r="281" spans="1:15" ht="18" customHeight="1" x14ac:dyDescent="0.25">
      <c r="A281" s="59">
        <v>278</v>
      </c>
      <c r="B281" s="59">
        <v>39</v>
      </c>
      <c r="C281" s="55" t="s">
        <v>48</v>
      </c>
      <c r="D281" s="55" t="s">
        <v>733</v>
      </c>
      <c r="E281" s="55" t="s">
        <v>548</v>
      </c>
      <c r="F281" s="77">
        <v>60000</v>
      </c>
      <c r="G281" s="55" t="s">
        <v>494</v>
      </c>
      <c r="H281" s="55" t="s">
        <v>593</v>
      </c>
      <c r="I281" s="76">
        <f>VLOOKUP(B281,'Caso 2 (Socios)'!$A$4:$G$73,4,FALSE)</f>
        <v>13500</v>
      </c>
      <c r="J281" s="75" t="str">
        <f t="shared" si="12"/>
        <v>Sí</v>
      </c>
      <c r="K281" s="80" t="str">
        <f t="shared" si="13"/>
        <v>⚠️</v>
      </c>
      <c r="L281" s="56" t="str">
        <f t="shared" si="14"/>
        <v>Monto alto + Inconsistencia</v>
      </c>
      <c r="N281" s="2" cm="1">
        <f t="array" ref="N281">SUMPRODUCT(
  (B$4:B281=B281)*
  (E$4:E281="Depósito")*
  (F$4:F281&gt;=15000)*
  (F$4:F281&lt;=49999)*
  (D$4:D281&gt;=D281-5)*
  (D$4:D281&lt;=D281)
)</f>
        <v>0</v>
      </c>
      <c r="O281" s="2" cm="1">
        <f t="array" ref="O281">IF(AND(E281="Retiro",F281&gt;=40000,G281="Sucursal"),
  SUMPRODUCT(
    (B$4:B281=B281)*
    (E$4:E281="Depósito")*
    (F$4:F281&gt;=F281*0.8)*
    (D$4:D281&gt;=D281-3)*
    (D$4:D281&lt;D281)
  ),0)</f>
        <v>0</v>
      </c>
    </row>
    <row r="282" spans="1:15" ht="18" customHeight="1" x14ac:dyDescent="0.25">
      <c r="A282" s="75">
        <v>279</v>
      </c>
      <c r="B282" s="75">
        <v>44</v>
      </c>
      <c r="C282" s="56" t="s">
        <v>53</v>
      </c>
      <c r="D282" s="56" t="s">
        <v>735</v>
      </c>
      <c r="E282" s="56" t="s">
        <v>490</v>
      </c>
      <c r="F282" s="76">
        <v>14500</v>
      </c>
      <c r="G282" s="56" t="s">
        <v>491</v>
      </c>
      <c r="H282" s="56" t="s">
        <v>529</v>
      </c>
      <c r="I282" s="76">
        <f>VLOOKUP(B282,'Caso 2 (Socios)'!$A$4:$G$73,4,FALSE)</f>
        <v>14200</v>
      </c>
      <c r="J282" s="75" t="str">
        <f t="shared" si="12"/>
        <v>No</v>
      </c>
      <c r="K282" s="80" t="str">
        <f t="shared" si="13"/>
        <v>✔️</v>
      </c>
      <c r="L282" s="56" t="str">
        <f t="shared" si="14"/>
        <v>Normal</v>
      </c>
      <c r="N282" s="2" cm="1">
        <f t="array" ref="N282">SUMPRODUCT(
  (B$4:B282=B282)*
  (E$4:E282="Depósito")*
  (F$4:F282&gt;=15000)*
  (F$4:F282&lt;=49999)*
  (D$4:D282&gt;=D282-5)*
  (D$4:D282&lt;=D282)
)</f>
        <v>1</v>
      </c>
      <c r="O282" s="2" cm="1">
        <f t="array" ref="O282">IF(AND(E282="Retiro",F282&gt;=40000,G282="Sucursal"),
  SUMPRODUCT(
    (B$4:B282=B282)*
    (E$4:E282="Depósito")*
    (F$4:F282&gt;=F282*0.8)*
    (D$4:D282&gt;=D282-3)*
    (D$4:D282&lt;D282)
  ),0)</f>
        <v>0</v>
      </c>
    </row>
    <row r="283" spans="1:15" ht="18" customHeight="1" x14ac:dyDescent="0.25">
      <c r="A283" s="59">
        <v>280</v>
      </c>
      <c r="B283" s="59">
        <v>52</v>
      </c>
      <c r="C283" s="55" t="s">
        <v>61</v>
      </c>
      <c r="D283" s="55" t="s">
        <v>736</v>
      </c>
      <c r="E283" s="55" t="s">
        <v>490</v>
      </c>
      <c r="F283" s="77">
        <v>11000</v>
      </c>
      <c r="G283" s="55" t="s">
        <v>494</v>
      </c>
      <c r="H283" s="55" t="s">
        <v>497</v>
      </c>
      <c r="I283" s="76">
        <f>VLOOKUP(B283,'Caso 2 (Socios)'!$A$4:$G$73,4,FALSE)</f>
        <v>11000</v>
      </c>
      <c r="J283" s="75" t="str">
        <f t="shared" si="12"/>
        <v>No</v>
      </c>
      <c r="K283" s="80" t="str">
        <f t="shared" si="13"/>
        <v>✔️</v>
      </c>
      <c r="L283" s="56" t="str">
        <f t="shared" si="14"/>
        <v>Normal</v>
      </c>
      <c r="N283" s="2" cm="1">
        <f t="array" ref="N283">SUMPRODUCT(
  (B$4:B283=B283)*
  (E$4:E283="Depósito")*
  (F$4:F283&gt;=15000)*
  (F$4:F283&lt;=49999)*
  (D$4:D283&gt;=D283-5)*
  (D$4:D283&lt;=D283)
)</f>
        <v>0</v>
      </c>
      <c r="O283" s="2" cm="1">
        <f t="array" ref="O283">IF(AND(E283="Retiro",F283&gt;=40000,G283="Sucursal"),
  SUMPRODUCT(
    (B$4:B283=B283)*
    (E$4:E283="Depósito")*
    (F$4:F283&gt;=F283*0.8)*
    (D$4:D283&gt;=D283-3)*
    (D$4:D283&lt;D283)
  ),0)</f>
        <v>0</v>
      </c>
    </row>
    <row r="284" spans="1:15" ht="18" customHeight="1" x14ac:dyDescent="0.25">
      <c r="A284" s="75">
        <v>281</v>
      </c>
      <c r="B284" s="75">
        <v>54</v>
      </c>
      <c r="C284" s="56" t="s">
        <v>63</v>
      </c>
      <c r="D284" s="56" t="s">
        <v>737</v>
      </c>
      <c r="E284" s="56" t="s">
        <v>490</v>
      </c>
      <c r="F284" s="76">
        <v>98000</v>
      </c>
      <c r="G284" s="56" t="s">
        <v>494</v>
      </c>
      <c r="H284" s="56" t="s">
        <v>555</v>
      </c>
      <c r="I284" s="76">
        <f>VLOOKUP(B284,'Caso 2 (Socios)'!$A$4:$G$73,4,FALSE)</f>
        <v>15500</v>
      </c>
      <c r="J284" s="75" t="str">
        <f t="shared" si="12"/>
        <v>Sí</v>
      </c>
      <c r="K284" s="80" t="str">
        <f t="shared" si="13"/>
        <v>⚠️</v>
      </c>
      <c r="L284" s="56" t="str">
        <f t="shared" si="14"/>
        <v>Monto alto + Inconsistencia</v>
      </c>
      <c r="N284" s="2" cm="1">
        <f t="array" ref="N284">SUMPRODUCT(
  (B$4:B284=B284)*
  (E$4:E284="Depósito")*
  (F$4:F284&gt;=15000)*
  (F$4:F284&lt;=49999)*
  (D$4:D284&gt;=D284-5)*
  (D$4:D284&lt;=D284)
)</f>
        <v>2</v>
      </c>
      <c r="O284" s="2" cm="1">
        <f t="array" ref="O284">IF(AND(E284="Retiro",F284&gt;=40000,G284="Sucursal"),
  SUMPRODUCT(
    (B$4:B284=B284)*
    (E$4:E284="Depósito")*
    (F$4:F284&gt;=F284*0.8)*
    (D$4:D284&gt;=D284-3)*
    (D$4:D284&lt;D284)
  ),0)</f>
        <v>0</v>
      </c>
    </row>
    <row r="285" spans="1:15" ht="18" customHeight="1" x14ac:dyDescent="0.25">
      <c r="A285" s="59">
        <v>282</v>
      </c>
      <c r="B285" s="59">
        <v>56</v>
      </c>
      <c r="C285" s="55" t="s">
        <v>468</v>
      </c>
      <c r="D285" s="55" t="s">
        <v>738</v>
      </c>
      <c r="E285" s="55" t="s">
        <v>490</v>
      </c>
      <c r="F285" s="77">
        <v>19000</v>
      </c>
      <c r="G285" s="55" t="s">
        <v>494</v>
      </c>
      <c r="H285" s="55" t="s">
        <v>557</v>
      </c>
      <c r="I285" s="76">
        <f>VLOOKUP(B285,'Caso 2 (Socios)'!$A$4:$G$73,4,FALSE)</f>
        <v>18000</v>
      </c>
      <c r="J285" s="75" t="str">
        <f t="shared" si="12"/>
        <v>No</v>
      </c>
      <c r="K285" s="80" t="str">
        <f t="shared" si="13"/>
        <v>⚠️</v>
      </c>
      <c r="L285" s="56" t="str">
        <f t="shared" si="14"/>
        <v>Posible fraccionamiento</v>
      </c>
      <c r="N285" s="2" cm="1">
        <f t="array" ref="N285">SUMPRODUCT(
  (B$4:B285=B285)*
  (E$4:E285="Depósito")*
  (F$4:F285&gt;=15000)*
  (F$4:F285&lt;=49999)*
  (D$4:D285&gt;=D285-5)*
  (D$4:D285&lt;=D285)
)</f>
        <v>4</v>
      </c>
      <c r="O285" s="2" cm="1">
        <f t="array" ref="O285">IF(AND(E285="Retiro",F285&gt;=40000,G285="Sucursal"),
  SUMPRODUCT(
    (B$4:B285=B285)*
    (E$4:E285="Depósito")*
    (F$4:F285&gt;=F285*0.8)*
    (D$4:D285&gt;=D285-3)*
    (D$4:D285&lt;D285)
  ),0)</f>
        <v>0</v>
      </c>
    </row>
    <row r="286" spans="1:15" ht="18" customHeight="1" x14ac:dyDescent="0.25">
      <c r="A286" s="75">
        <v>283</v>
      </c>
      <c r="B286" s="75">
        <v>58</v>
      </c>
      <c r="C286" s="56" t="s">
        <v>470</v>
      </c>
      <c r="D286" s="56" t="s">
        <v>740</v>
      </c>
      <c r="E286" s="56" t="s">
        <v>490</v>
      </c>
      <c r="F286" s="76">
        <v>27000</v>
      </c>
      <c r="G286" s="56" t="s">
        <v>494</v>
      </c>
      <c r="H286" s="56" t="s">
        <v>570</v>
      </c>
      <c r="I286" s="76">
        <f>VLOOKUP(B286,'Caso 2 (Socios)'!$A$4:$G$73,4,FALSE)</f>
        <v>25000</v>
      </c>
      <c r="J286" s="75" t="str">
        <f t="shared" si="12"/>
        <v>No</v>
      </c>
      <c r="K286" s="80" t="str">
        <f t="shared" si="13"/>
        <v>⚠️</v>
      </c>
      <c r="L286" s="56" t="str">
        <f t="shared" si="14"/>
        <v>Posible fraccionamiento</v>
      </c>
      <c r="N286" s="2" cm="1">
        <f t="array" ref="N286">SUMPRODUCT(
  (B$4:B286=B286)*
  (E$4:E286="Depósito")*
  (F$4:F286&gt;=15000)*
  (F$4:F286&lt;=49999)*
  (D$4:D286&gt;=D286-5)*
  (D$4:D286&lt;=D286)
)</f>
        <v>2</v>
      </c>
      <c r="O286" s="2" cm="1">
        <f t="array" ref="O286">IF(AND(E286="Retiro",F286&gt;=40000,G286="Sucursal"),
  SUMPRODUCT(
    (B$4:B286=B286)*
    (E$4:E286="Depósito")*
    (F$4:F286&gt;=F286*0.8)*
    (D$4:D286&gt;=D286-3)*
    (D$4:D286&lt;D286)
  ),0)</f>
        <v>0</v>
      </c>
    </row>
    <row r="287" spans="1:15" ht="18" customHeight="1" x14ac:dyDescent="0.25">
      <c r="A287" s="59">
        <v>284</v>
      </c>
      <c r="B287" s="59">
        <v>12</v>
      </c>
      <c r="C287" s="55" t="s">
        <v>22</v>
      </c>
      <c r="D287" s="55" t="s">
        <v>741</v>
      </c>
      <c r="E287" s="55" t="s">
        <v>490</v>
      </c>
      <c r="F287" s="77">
        <v>15000</v>
      </c>
      <c r="G287" s="55" t="s">
        <v>494</v>
      </c>
      <c r="H287" s="55" t="s">
        <v>529</v>
      </c>
      <c r="I287" s="76">
        <f>VLOOKUP(B287,'Caso 2 (Socios)'!$A$4:$G$73,4,FALSE)</f>
        <v>14500</v>
      </c>
      <c r="J287" s="75" t="str">
        <f t="shared" si="12"/>
        <v>No</v>
      </c>
      <c r="K287" s="80" t="str">
        <f t="shared" si="13"/>
        <v>✔️</v>
      </c>
      <c r="L287" s="56" t="str">
        <f t="shared" si="14"/>
        <v>Normal</v>
      </c>
      <c r="N287" s="2" cm="1">
        <f t="array" ref="N287">SUMPRODUCT(
  (B$4:B287=B287)*
  (E$4:E287="Depósito")*
  (F$4:F287&gt;=15000)*
  (F$4:F287&lt;=49999)*
  (D$4:D287&gt;=D287-5)*
  (D$4:D287&lt;=D287)
)</f>
        <v>1</v>
      </c>
      <c r="O287" s="2" cm="1">
        <f t="array" ref="O287">IF(AND(E287="Retiro",F287&gt;=40000,G287="Sucursal"),
  SUMPRODUCT(
    (B$4:B287=B287)*
    (E$4:E287="Depósito")*
    (F$4:F287&gt;=F287*0.8)*
    (D$4:D287&gt;=D287-3)*
    (D$4:D287&lt;D287)
  ),0)</f>
        <v>0</v>
      </c>
    </row>
    <row r="288" spans="1:15" ht="18" customHeight="1" x14ac:dyDescent="0.25">
      <c r="A288" s="75">
        <v>285</v>
      </c>
      <c r="B288" s="75">
        <v>19</v>
      </c>
      <c r="C288" s="56" t="s">
        <v>29</v>
      </c>
      <c r="D288" s="56" t="s">
        <v>742</v>
      </c>
      <c r="E288" s="56" t="s">
        <v>490</v>
      </c>
      <c r="F288" s="76">
        <v>19500</v>
      </c>
      <c r="G288" s="56" t="s">
        <v>494</v>
      </c>
      <c r="H288" s="56" t="s">
        <v>581</v>
      </c>
      <c r="I288" s="76">
        <f>VLOOKUP(B288,'Caso 2 (Socios)'!$A$4:$G$73,4,FALSE)</f>
        <v>19000</v>
      </c>
      <c r="J288" s="75" t="str">
        <f t="shared" si="12"/>
        <v>No</v>
      </c>
      <c r="K288" s="80" t="str">
        <f t="shared" si="13"/>
        <v>⚠️</v>
      </c>
      <c r="L288" s="56" t="str">
        <f t="shared" si="14"/>
        <v>Posible fraccionamiento</v>
      </c>
      <c r="N288" s="2" cm="1">
        <f t="array" ref="N288">SUMPRODUCT(
  (B$4:B288=B288)*
  (E$4:E288="Depósito")*
  (F$4:F288&gt;=15000)*
  (F$4:F288&lt;=49999)*
  (D$4:D288&gt;=D288-5)*
  (D$4:D288&lt;=D288)
)</f>
        <v>2</v>
      </c>
      <c r="O288" s="2" cm="1">
        <f t="array" ref="O288">IF(AND(E288="Retiro",F288&gt;=40000,G288="Sucursal"),
  SUMPRODUCT(
    (B$4:B288=B288)*
    (E$4:E288="Depósito")*
    (F$4:F288&gt;=F288*0.8)*
    (D$4:D288&gt;=D288-3)*
    (D$4:D288&lt;D288)
  ),0)</f>
        <v>0</v>
      </c>
    </row>
    <row r="289" spans="1:15" ht="18" customHeight="1" x14ac:dyDescent="0.25">
      <c r="A289" s="59">
        <v>286</v>
      </c>
      <c r="B289" s="59">
        <v>26</v>
      </c>
      <c r="C289" s="55" t="s">
        <v>36</v>
      </c>
      <c r="D289" s="55" t="s">
        <v>743</v>
      </c>
      <c r="E289" s="55" t="s">
        <v>490</v>
      </c>
      <c r="F289" s="77">
        <v>8500</v>
      </c>
      <c r="G289" s="55" t="s">
        <v>491</v>
      </c>
      <c r="H289" s="55" t="s">
        <v>529</v>
      </c>
      <c r="I289" s="76">
        <f>VLOOKUP(B289,'Caso 2 (Socios)'!$A$4:$G$73,4,FALSE)</f>
        <v>8000</v>
      </c>
      <c r="J289" s="75" t="str">
        <f t="shared" si="12"/>
        <v>No</v>
      </c>
      <c r="K289" s="80" t="str">
        <f t="shared" si="13"/>
        <v>✔️</v>
      </c>
      <c r="L289" s="56" t="str">
        <f t="shared" si="14"/>
        <v>Normal</v>
      </c>
      <c r="N289" s="2" cm="1">
        <f t="array" ref="N289">SUMPRODUCT(
  (B$4:B289=B289)*
  (E$4:E289="Depósito")*
  (F$4:F289&gt;=15000)*
  (F$4:F289&lt;=49999)*
  (D$4:D289&gt;=D289-5)*
  (D$4:D289&lt;=D289)
)</f>
        <v>0</v>
      </c>
      <c r="O289" s="2" cm="1">
        <f t="array" ref="O289">IF(AND(E289="Retiro",F289&gt;=40000,G289="Sucursal"),
  SUMPRODUCT(
    (B$4:B289=B289)*
    (E$4:E289="Depósito")*
    (F$4:F289&gt;=F289*0.8)*
    (D$4:D289&gt;=D289-3)*
    (D$4:D289&lt;D289)
  ),0)</f>
        <v>0</v>
      </c>
    </row>
    <row r="290" spans="1:15" ht="18" customHeight="1" x14ac:dyDescent="0.25">
      <c r="A290" s="75">
        <v>287</v>
      </c>
      <c r="B290" s="75">
        <v>32</v>
      </c>
      <c r="C290" s="56" t="s">
        <v>11</v>
      </c>
      <c r="D290" s="56" t="s">
        <v>744</v>
      </c>
      <c r="E290" s="56" t="s">
        <v>490</v>
      </c>
      <c r="F290" s="76">
        <v>12800</v>
      </c>
      <c r="G290" s="56" t="s">
        <v>494</v>
      </c>
      <c r="H290" s="56" t="s">
        <v>546</v>
      </c>
      <c r="I290" s="76">
        <f>VLOOKUP(B290,'Caso 2 (Socios)'!$A$4:$G$73,4,FALSE)</f>
        <v>12800</v>
      </c>
      <c r="J290" s="75" t="str">
        <f t="shared" si="12"/>
        <v>No</v>
      </c>
      <c r="K290" s="80" t="str">
        <f t="shared" si="13"/>
        <v>✔️</v>
      </c>
      <c r="L290" s="56" t="str">
        <f t="shared" si="14"/>
        <v>Normal</v>
      </c>
      <c r="N290" s="2" cm="1">
        <f t="array" ref="N290">SUMPRODUCT(
  (B$4:B290=B290)*
  (E$4:E290="Depósito")*
  (F$4:F290&gt;=15000)*
  (F$4:F290&lt;=49999)*
  (D$4:D290&gt;=D290-5)*
  (D$4:D290&lt;=D290)
)</f>
        <v>0</v>
      </c>
      <c r="O290" s="2" cm="1">
        <f t="array" ref="O290">IF(AND(E290="Retiro",F290&gt;=40000,G290="Sucursal"),
  SUMPRODUCT(
    (B$4:B290=B290)*
    (E$4:E290="Depósito")*
    (F$4:F290&gt;=F290*0.8)*
    (D$4:D290&gt;=D290-3)*
    (D$4:D290&lt;D290)
  ),0)</f>
        <v>0</v>
      </c>
    </row>
    <row r="291" spans="1:15" ht="18" customHeight="1" x14ac:dyDescent="0.25">
      <c r="A291" s="59">
        <v>288</v>
      </c>
      <c r="B291" s="59">
        <v>38</v>
      </c>
      <c r="C291" s="55" t="s">
        <v>47</v>
      </c>
      <c r="D291" s="55" t="s">
        <v>746</v>
      </c>
      <c r="E291" s="55" t="s">
        <v>490</v>
      </c>
      <c r="F291" s="77">
        <v>9700</v>
      </c>
      <c r="G291" s="55" t="s">
        <v>491</v>
      </c>
      <c r="H291" s="55" t="s">
        <v>585</v>
      </c>
      <c r="I291" s="76">
        <f>VLOOKUP(B291,'Caso 2 (Socios)'!$A$4:$G$73,4,FALSE)</f>
        <v>9500</v>
      </c>
      <c r="J291" s="75" t="str">
        <f t="shared" si="12"/>
        <v>No</v>
      </c>
      <c r="K291" s="80" t="str">
        <f t="shared" si="13"/>
        <v>✔️</v>
      </c>
      <c r="L291" s="56" t="str">
        <f t="shared" si="14"/>
        <v>Normal</v>
      </c>
      <c r="N291" s="2" cm="1">
        <f t="array" ref="N291">SUMPRODUCT(
  (B$4:B291=B291)*
  (E$4:E291="Depósito")*
  (F$4:F291&gt;=15000)*
  (F$4:F291&lt;=49999)*
  (D$4:D291&gt;=D291-5)*
  (D$4:D291&lt;=D291)
)</f>
        <v>0</v>
      </c>
      <c r="O291" s="2" cm="1">
        <f t="array" ref="O291">IF(AND(E291="Retiro",F291&gt;=40000,G291="Sucursal"),
  SUMPRODUCT(
    (B$4:B291=B291)*
    (E$4:E291="Depósito")*
    (F$4:F291&gt;=F291*0.8)*
    (D$4:D291&gt;=D291-3)*
    (D$4:D291&lt;D291)
  ),0)</f>
        <v>0</v>
      </c>
    </row>
    <row r="292" spans="1:15" ht="18" customHeight="1" x14ac:dyDescent="0.25">
      <c r="A292" s="75">
        <v>289</v>
      </c>
      <c r="B292" s="75">
        <v>45</v>
      </c>
      <c r="C292" s="56" t="s">
        <v>54</v>
      </c>
      <c r="D292" s="56" t="s">
        <v>747</v>
      </c>
      <c r="E292" s="56" t="s">
        <v>490</v>
      </c>
      <c r="F292" s="76">
        <v>24000</v>
      </c>
      <c r="G292" s="56" t="s">
        <v>494</v>
      </c>
      <c r="H292" s="56" t="s">
        <v>544</v>
      </c>
      <c r="I292" s="76">
        <f>VLOOKUP(B292,'Caso 2 (Socios)'!$A$4:$G$73,4,FALSE)</f>
        <v>24000</v>
      </c>
      <c r="J292" s="75" t="str">
        <f t="shared" si="12"/>
        <v>No</v>
      </c>
      <c r="K292" s="80" t="str">
        <f t="shared" si="13"/>
        <v>⚠️</v>
      </c>
      <c r="L292" s="56" t="str">
        <f t="shared" si="14"/>
        <v>Posible fraccionamiento</v>
      </c>
      <c r="N292" s="2" cm="1">
        <f t="array" ref="N292">SUMPRODUCT(
  (B$4:B292=B292)*
  (E$4:E292="Depósito")*
  (F$4:F292&gt;=15000)*
  (F$4:F292&lt;=49999)*
  (D$4:D292&gt;=D292-5)*
  (D$4:D292&lt;=D292)
)</f>
        <v>2</v>
      </c>
      <c r="O292" s="2" cm="1">
        <f t="array" ref="O292">IF(AND(E292="Retiro",F292&gt;=40000,G292="Sucursal"),
  SUMPRODUCT(
    (B$4:B292=B292)*
    (E$4:E292="Depósito")*
    (F$4:F292&gt;=F292*0.8)*
    (D$4:D292&gt;=D292-3)*
    (D$4:D292&lt;D292)
  ),0)</f>
        <v>0</v>
      </c>
    </row>
    <row r="293" spans="1:15" ht="18" customHeight="1" x14ac:dyDescent="0.25">
      <c r="A293" s="59">
        <v>290</v>
      </c>
      <c r="B293" s="59">
        <v>48</v>
      </c>
      <c r="C293" s="55" t="s">
        <v>57</v>
      </c>
      <c r="D293" s="55" t="s">
        <v>748</v>
      </c>
      <c r="E293" s="55" t="s">
        <v>490</v>
      </c>
      <c r="F293" s="77">
        <v>13900</v>
      </c>
      <c r="G293" s="55" t="s">
        <v>494</v>
      </c>
      <c r="H293" s="55" t="s">
        <v>497</v>
      </c>
      <c r="I293" s="76">
        <f>VLOOKUP(B293,'Caso 2 (Socios)'!$A$4:$G$73,4,FALSE)</f>
        <v>13800</v>
      </c>
      <c r="J293" s="75" t="str">
        <f t="shared" si="12"/>
        <v>No</v>
      </c>
      <c r="K293" s="80" t="str">
        <f t="shared" si="13"/>
        <v>✔️</v>
      </c>
      <c r="L293" s="56" t="str">
        <f t="shared" si="14"/>
        <v>Normal</v>
      </c>
      <c r="N293" s="2" cm="1">
        <f t="array" ref="N293">SUMPRODUCT(
  (B$4:B293=B293)*
  (E$4:E293="Depósito")*
  (F$4:F293&gt;=15000)*
  (F$4:F293&lt;=49999)*
  (D$4:D293&gt;=D293-5)*
  (D$4:D293&lt;=D293)
)</f>
        <v>0</v>
      </c>
      <c r="O293" s="2" cm="1">
        <f t="array" ref="O293">IF(AND(E293="Retiro",F293&gt;=40000,G293="Sucursal"),
  SUMPRODUCT(
    (B$4:B293=B293)*
    (E$4:E293="Depósito")*
    (F$4:F293&gt;=F293*0.8)*
    (D$4:D293&gt;=D293-3)*
    (D$4:D293&lt;D293)
  ),0)</f>
        <v>0</v>
      </c>
    </row>
    <row r="294" spans="1:15" ht="18" customHeight="1" x14ac:dyDescent="0.25">
      <c r="A294" s="75">
        <v>291</v>
      </c>
      <c r="B294" s="75">
        <v>53</v>
      </c>
      <c r="C294" s="56" t="s">
        <v>62</v>
      </c>
      <c r="D294" s="56" t="s">
        <v>749</v>
      </c>
      <c r="E294" s="56" t="s">
        <v>490</v>
      </c>
      <c r="F294" s="76">
        <v>20000</v>
      </c>
      <c r="G294" s="56" t="s">
        <v>494</v>
      </c>
      <c r="H294" s="56" t="s">
        <v>517</v>
      </c>
      <c r="I294" s="76">
        <f>VLOOKUP(B294,'Caso 2 (Socios)'!$A$4:$G$73,4,FALSE)</f>
        <v>19500</v>
      </c>
      <c r="J294" s="75" t="str">
        <f t="shared" si="12"/>
        <v>No</v>
      </c>
      <c r="K294" s="80" t="str">
        <f t="shared" si="13"/>
        <v>⚠️</v>
      </c>
      <c r="L294" s="56" t="str">
        <f t="shared" si="14"/>
        <v>Posible fraccionamiento</v>
      </c>
      <c r="N294" s="2" cm="1">
        <f t="array" ref="N294">SUMPRODUCT(
  (B$4:B294=B294)*
  (E$4:E294="Depósito")*
  (F$4:F294&gt;=15000)*
  (F$4:F294&lt;=49999)*
  (D$4:D294&gt;=D294-5)*
  (D$4:D294&lt;=D294)
)</f>
        <v>3</v>
      </c>
      <c r="O294" s="2" cm="1">
        <f t="array" ref="O294">IF(AND(E294="Retiro",F294&gt;=40000,G294="Sucursal"),
  SUMPRODUCT(
    (B$4:B294=B294)*
    (E$4:E294="Depósito")*
    (F$4:F294&gt;=F294*0.8)*
    (D$4:D294&gt;=D294-3)*
    (D$4:D294&lt;D294)
  ),0)</f>
        <v>0</v>
      </c>
    </row>
    <row r="295" spans="1:15" ht="18" customHeight="1" x14ac:dyDescent="0.25">
      <c r="A295" s="59">
        <v>292</v>
      </c>
      <c r="B295" s="59">
        <v>57</v>
      </c>
      <c r="C295" s="55" t="s">
        <v>469</v>
      </c>
      <c r="D295" s="55" t="s">
        <v>750</v>
      </c>
      <c r="E295" s="55" t="s">
        <v>490</v>
      </c>
      <c r="F295" s="77">
        <v>4900</v>
      </c>
      <c r="G295" s="55" t="s">
        <v>491</v>
      </c>
      <c r="H295" s="55" t="s">
        <v>513</v>
      </c>
      <c r="I295" s="76">
        <f>VLOOKUP(B295,'Caso 2 (Socios)'!$A$4:$G$73,4,FALSE)</f>
        <v>4500</v>
      </c>
      <c r="J295" s="75" t="str">
        <f t="shared" si="12"/>
        <v>No</v>
      </c>
      <c r="K295" s="80" t="str">
        <f t="shared" si="13"/>
        <v>✔️</v>
      </c>
      <c r="L295" s="56" t="str">
        <f t="shared" si="14"/>
        <v>Normal</v>
      </c>
      <c r="N295" s="2" cm="1">
        <f t="array" ref="N295">SUMPRODUCT(
  (B$4:B295=B295)*
  (E$4:E295="Depósito")*
  (F$4:F295&gt;=15000)*
  (F$4:F295&lt;=49999)*
  (D$4:D295&gt;=D295-5)*
  (D$4:D295&lt;=D295)
)</f>
        <v>0</v>
      </c>
      <c r="O295" s="2" cm="1">
        <f t="array" ref="O295">IF(AND(E295="Retiro",F295&gt;=40000,G295="Sucursal"),
  SUMPRODUCT(
    (B$4:B295=B295)*
    (E$4:E295="Depósito")*
    (F$4:F295&gt;=F295*0.8)*
    (D$4:D295&gt;=D295-3)*
    (D$4:D295&lt;D295)
  ),0)</f>
        <v>0</v>
      </c>
    </row>
    <row r="296" spans="1:15" ht="18" customHeight="1" x14ac:dyDescent="0.25">
      <c r="A296" s="75">
        <v>293</v>
      </c>
      <c r="B296" s="75">
        <v>60</v>
      </c>
      <c r="C296" s="56" t="s">
        <v>472</v>
      </c>
      <c r="D296" s="56" t="s">
        <v>751</v>
      </c>
      <c r="E296" s="56" t="s">
        <v>490</v>
      </c>
      <c r="F296" s="76">
        <v>22000</v>
      </c>
      <c r="G296" s="56" t="s">
        <v>494</v>
      </c>
      <c r="H296" s="56" t="s">
        <v>544</v>
      </c>
      <c r="I296" s="76">
        <f>VLOOKUP(B296,'Caso 2 (Socios)'!$A$4:$G$73,4,FALSE)</f>
        <v>22000</v>
      </c>
      <c r="J296" s="75" t="str">
        <f t="shared" si="12"/>
        <v>No</v>
      </c>
      <c r="K296" s="80" t="str">
        <f t="shared" si="13"/>
        <v>⚠️</v>
      </c>
      <c r="L296" s="56" t="str">
        <f t="shared" si="14"/>
        <v>Posible fraccionamiento</v>
      </c>
      <c r="N296" s="2" cm="1">
        <f t="array" ref="N296">SUMPRODUCT(
  (B$4:B296=B296)*
  (E$4:E296="Depósito")*
  (F$4:F296&gt;=15000)*
  (F$4:F296&lt;=49999)*
  (D$4:D296&gt;=D296-5)*
  (D$4:D296&lt;=D296)
)</f>
        <v>3</v>
      </c>
      <c r="O296" s="2" cm="1">
        <f t="array" ref="O296">IF(AND(E296="Retiro",F296&gt;=40000,G296="Sucursal"),
  SUMPRODUCT(
    (B$4:B296=B296)*
    (E$4:E296="Depósito")*
    (F$4:F296&gt;=F296*0.8)*
    (D$4:D296&gt;=D296-3)*
    (D$4:D296&lt;D296)
  ),0)</f>
        <v>0</v>
      </c>
    </row>
    <row r="297" spans="1:15" ht="18" customHeight="1" x14ac:dyDescent="0.25">
      <c r="A297" s="59">
        <v>294</v>
      </c>
      <c r="B297" s="59">
        <v>28</v>
      </c>
      <c r="C297" s="55" t="s">
        <v>38</v>
      </c>
      <c r="D297" s="55" t="s">
        <v>777</v>
      </c>
      <c r="E297" s="55" t="s">
        <v>490</v>
      </c>
      <c r="F297" s="77">
        <v>23500</v>
      </c>
      <c r="G297" s="55" t="s">
        <v>494</v>
      </c>
      <c r="H297" s="55" t="s">
        <v>544</v>
      </c>
      <c r="I297" s="76">
        <f>VLOOKUP(B297,'Caso 2 (Socios)'!$A$4:$G$73,4,FALSE)</f>
        <v>23000</v>
      </c>
      <c r="J297" s="75" t="str">
        <f t="shared" si="12"/>
        <v>No</v>
      </c>
      <c r="K297" s="80" t="str">
        <f t="shared" si="13"/>
        <v>⚠️</v>
      </c>
      <c r="L297" s="56" t="str">
        <f t="shared" si="14"/>
        <v>Posible fraccionamiento</v>
      </c>
      <c r="N297" s="2" cm="1">
        <f t="array" ref="N297">SUMPRODUCT(
  (B$4:B297=B297)*
  (E$4:E297="Depósito")*
  (F$4:F297&gt;=15000)*
  (F$4:F297&lt;=49999)*
  (D$4:D297&gt;=D297-5)*
  (D$4:D297&lt;=D297)
)</f>
        <v>4</v>
      </c>
      <c r="O297" s="2" cm="1">
        <f t="array" ref="O297">IF(AND(E297="Retiro",F297&gt;=40000,G297="Sucursal"),
  SUMPRODUCT(
    (B$4:B297=B297)*
    (E$4:E297="Depósito")*
    (F$4:F297&gt;=F297*0.8)*
    (D$4:D297&gt;=D297-3)*
    (D$4:D297&lt;D297)
  ),0)</f>
        <v>0</v>
      </c>
    </row>
    <row r="298" spans="1:15" ht="18" customHeight="1" x14ac:dyDescent="0.25">
      <c r="A298" s="75">
        <v>295</v>
      </c>
      <c r="B298" s="75">
        <v>36</v>
      </c>
      <c r="C298" s="56" t="s">
        <v>45</v>
      </c>
      <c r="D298" s="56" t="s">
        <v>778</v>
      </c>
      <c r="E298" s="56" t="s">
        <v>490</v>
      </c>
      <c r="F298" s="76">
        <v>15200</v>
      </c>
      <c r="G298" s="56" t="s">
        <v>491</v>
      </c>
      <c r="H298" s="56" t="s">
        <v>497</v>
      </c>
      <c r="I298" s="76">
        <f>VLOOKUP(B298,'Caso 2 (Socios)'!$A$4:$G$73,4,FALSE)</f>
        <v>15000</v>
      </c>
      <c r="J298" s="75" t="str">
        <f t="shared" si="12"/>
        <v>No</v>
      </c>
      <c r="K298" s="80" t="str">
        <f t="shared" si="13"/>
        <v>⚠️</v>
      </c>
      <c r="L298" s="56" t="str">
        <f t="shared" si="14"/>
        <v>Posible fraccionamiento</v>
      </c>
      <c r="N298" s="2" cm="1">
        <f t="array" ref="N298">SUMPRODUCT(
  (B$4:B298=B298)*
  (E$4:E298="Depósito")*
  (F$4:F298&gt;=15000)*
  (F$4:F298&lt;=49999)*
  (D$4:D298&gt;=D298-5)*
  (D$4:D298&lt;=D298)
)</f>
        <v>4</v>
      </c>
      <c r="O298" s="2" cm="1">
        <f t="array" ref="O298">IF(AND(E298="Retiro",F298&gt;=40000,G298="Sucursal"),
  SUMPRODUCT(
    (B$4:B298=B298)*
    (E$4:E298="Depósito")*
    (F$4:F298&gt;=F298*0.8)*
    (D$4:D298&gt;=D298-3)*
    (D$4:D298&lt;D298)
  ),0)</f>
        <v>0</v>
      </c>
    </row>
    <row r="299" spans="1:15" ht="18" customHeight="1" x14ac:dyDescent="0.25">
      <c r="A299" s="59">
        <v>296</v>
      </c>
      <c r="B299" s="59">
        <v>51</v>
      </c>
      <c r="C299" s="55" t="s">
        <v>60</v>
      </c>
      <c r="D299" s="55" t="s">
        <v>779</v>
      </c>
      <c r="E299" s="55" t="s">
        <v>490</v>
      </c>
      <c r="F299" s="77">
        <v>11000</v>
      </c>
      <c r="G299" s="55" t="s">
        <v>494</v>
      </c>
      <c r="H299" s="55" t="s">
        <v>635</v>
      </c>
      <c r="I299" s="76">
        <f>VLOOKUP(B299,'Caso 2 (Socios)'!$A$4:$G$73,4,FALSE)</f>
        <v>10900</v>
      </c>
      <c r="J299" s="75" t="str">
        <f t="shared" si="12"/>
        <v>No</v>
      </c>
      <c r="K299" s="80" t="str">
        <f t="shared" si="13"/>
        <v>✔️</v>
      </c>
      <c r="L299" s="56" t="str">
        <f t="shared" si="14"/>
        <v>Normal</v>
      </c>
      <c r="N299" s="2" cm="1">
        <f t="array" ref="N299">SUMPRODUCT(
  (B$4:B299=B299)*
  (E$4:E299="Depósito")*
  (F$4:F299&gt;=15000)*
  (F$4:F299&lt;=49999)*
  (D$4:D299&gt;=D299-5)*
  (D$4:D299&lt;=D299)
)</f>
        <v>4</v>
      </c>
      <c r="O299" s="2" cm="1">
        <f t="array" ref="O299">IF(AND(E299="Retiro",F299&gt;=40000,G299="Sucursal"),
  SUMPRODUCT(
    (B$4:B299=B299)*
    (E$4:E299="Depósito")*
    (F$4:F299&gt;=F299*0.8)*
    (D$4:D299&gt;=D299-3)*
    (D$4:D299&lt;D299)
  ),0)</f>
        <v>0</v>
      </c>
    </row>
    <row r="300" spans="1:15" ht="18" customHeight="1" x14ac:dyDescent="0.25">
      <c r="A300" s="75">
        <v>297</v>
      </c>
      <c r="B300" s="75">
        <v>54</v>
      </c>
      <c r="C300" s="56" t="s">
        <v>63</v>
      </c>
      <c r="D300" s="56" t="s">
        <v>780</v>
      </c>
      <c r="E300" s="56" t="s">
        <v>490</v>
      </c>
      <c r="F300" s="76">
        <v>15800</v>
      </c>
      <c r="G300" s="56" t="s">
        <v>494</v>
      </c>
      <c r="H300" s="56" t="s">
        <v>529</v>
      </c>
      <c r="I300" s="76">
        <f>VLOOKUP(B300,'Caso 2 (Socios)'!$A$4:$G$73,4,FALSE)</f>
        <v>15500</v>
      </c>
      <c r="J300" s="75" t="str">
        <f t="shared" si="12"/>
        <v>No</v>
      </c>
      <c r="K300" s="80" t="str">
        <f t="shared" si="13"/>
        <v>⚠️</v>
      </c>
      <c r="L300" s="56" t="str">
        <f t="shared" si="14"/>
        <v>Posible fraccionamiento</v>
      </c>
      <c r="N300" s="2" cm="1">
        <f t="array" ref="N300">SUMPRODUCT(
  (B$4:B300=B300)*
  (E$4:E300="Depósito")*
  (F$4:F300&gt;=15000)*
  (F$4:F300&lt;=49999)*
  (D$4:D300&gt;=D300-5)*
  (D$4:D300&lt;=D300)
)</f>
        <v>5</v>
      </c>
      <c r="O300" s="2" cm="1">
        <f t="array" ref="O300">IF(AND(E300="Retiro",F300&gt;=40000,G300="Sucursal"),
  SUMPRODUCT(
    (B$4:B300=B300)*
    (E$4:E300="Depósito")*
    (F$4:F300&gt;=F300*0.8)*
    (D$4:D300&gt;=D300-3)*
    (D$4:D300&lt;D300)
  ),0)</f>
        <v>0</v>
      </c>
    </row>
    <row r="301" spans="1:15" ht="18" customHeight="1" x14ac:dyDescent="0.25">
      <c r="A301" s="59">
        <v>298</v>
      </c>
      <c r="B301" s="59">
        <v>17</v>
      </c>
      <c r="C301" s="55" t="s">
        <v>27</v>
      </c>
      <c r="D301" s="55" t="s">
        <v>752</v>
      </c>
      <c r="E301" s="55" t="s">
        <v>548</v>
      </c>
      <c r="F301" s="77">
        <v>90000</v>
      </c>
      <c r="G301" s="55" t="s">
        <v>494</v>
      </c>
      <c r="H301" s="55" t="s">
        <v>600</v>
      </c>
      <c r="I301" s="76">
        <f>VLOOKUP(B301,'Caso 2 (Socios)'!$A$4:$G$73,4,FALSE)</f>
        <v>16000</v>
      </c>
      <c r="J301" s="75" t="str">
        <f t="shared" si="12"/>
        <v>Sí</v>
      </c>
      <c r="K301" s="80" t="str">
        <f t="shared" si="13"/>
        <v>⚠️</v>
      </c>
      <c r="L301" s="56" t="str">
        <f t="shared" si="14"/>
        <v>Monto alto + Inconsistencia</v>
      </c>
      <c r="N301" s="2" cm="1">
        <f t="array" ref="N301">SUMPRODUCT(
  (B$4:B301=B301)*
  (E$4:E301="Depósito")*
  (F$4:F301&gt;=15000)*
  (F$4:F301&lt;=49999)*
  (D$4:D301&gt;=D301-5)*
  (D$4:D301&lt;=D301)
)</f>
        <v>3</v>
      </c>
      <c r="O301" s="2" cm="1">
        <f t="array" ref="O301">IF(AND(E301="Retiro",F301&gt;=40000,G301="Sucursal"),
  SUMPRODUCT(
    (B$4:B301=B301)*
    (E$4:E301="Depósito")*
    (F$4:F301&gt;=F301*0.8)*
    (D$4:D301&gt;=D301-3)*
    (D$4:D301&lt;D301)
  ),0)</f>
        <v>2</v>
      </c>
    </row>
    <row r="302" spans="1:15" ht="18" customHeight="1" x14ac:dyDescent="0.25">
      <c r="A302" s="75">
        <v>299</v>
      </c>
      <c r="B302" s="75">
        <v>33</v>
      </c>
      <c r="C302" s="56" t="s">
        <v>42</v>
      </c>
      <c r="D302" s="56" t="s">
        <v>781</v>
      </c>
      <c r="E302" s="56" t="s">
        <v>490</v>
      </c>
      <c r="F302" s="76">
        <v>53000</v>
      </c>
      <c r="G302" s="56" t="s">
        <v>494</v>
      </c>
      <c r="H302" s="56" t="s">
        <v>561</v>
      </c>
      <c r="I302" s="76">
        <f>VLOOKUP(B302,'Caso 2 (Socios)'!$A$4:$G$73,4,FALSE)</f>
        <v>8700</v>
      </c>
      <c r="J302" s="75" t="str">
        <f t="shared" si="12"/>
        <v>Sí</v>
      </c>
      <c r="K302" s="80" t="str">
        <f t="shared" si="13"/>
        <v>⚠️</v>
      </c>
      <c r="L302" s="56" t="str">
        <f t="shared" si="14"/>
        <v>Monto alto + Inconsistencia</v>
      </c>
      <c r="N302" s="2" cm="1">
        <f t="array" ref="N302">SUMPRODUCT(
  (B$4:B302=B302)*
  (E$4:E302="Depósito")*
  (F$4:F302&gt;=15000)*
  (F$4:F302&lt;=49999)*
  (D$4:D302&gt;=D302-5)*
  (D$4:D302&lt;=D302)
)</f>
        <v>0</v>
      </c>
      <c r="O302" s="2" cm="1">
        <f t="array" ref="O302">IF(AND(E302="Retiro",F302&gt;=40000,G302="Sucursal"),
  SUMPRODUCT(
    (B$4:B302=B302)*
    (E$4:E302="Depósito")*
    (F$4:F302&gt;=F302*0.8)*
    (D$4:D302&gt;=D302-3)*
    (D$4:D302&lt;D302)
  ),0)</f>
        <v>0</v>
      </c>
    </row>
    <row r="303" spans="1:15" ht="18" customHeight="1" x14ac:dyDescent="0.25">
      <c r="A303" s="59">
        <v>300</v>
      </c>
      <c r="B303" s="59">
        <v>41</v>
      </c>
      <c r="C303" s="55" t="s">
        <v>50</v>
      </c>
      <c r="D303" s="55" t="s">
        <v>782</v>
      </c>
      <c r="E303" s="55" t="s">
        <v>490</v>
      </c>
      <c r="F303" s="77">
        <v>17000</v>
      </c>
      <c r="G303" s="55" t="s">
        <v>494</v>
      </c>
      <c r="H303" s="55" t="s">
        <v>517</v>
      </c>
      <c r="I303" s="76">
        <f>VLOOKUP(B303,'Caso 2 (Socios)'!$A$4:$G$73,4,FALSE)</f>
        <v>16800</v>
      </c>
      <c r="J303" s="75" t="str">
        <f t="shared" si="12"/>
        <v>No</v>
      </c>
      <c r="K303" s="80" t="str">
        <f t="shared" si="13"/>
        <v>⚠️</v>
      </c>
      <c r="L303" s="56" t="str">
        <f t="shared" si="14"/>
        <v>Posible fraccionamiento</v>
      </c>
      <c r="N303" s="2" cm="1">
        <f t="array" ref="N303">SUMPRODUCT(
  (B$4:B303=B303)*
  (E$4:E303="Depósito")*
  (F$4:F303&gt;=15000)*
  (F$4:F303&lt;=49999)*
  (D$4:D303&gt;=D303-5)*
  (D$4:D303&lt;=D303)
)</f>
        <v>6</v>
      </c>
      <c r="O303" s="2" cm="1">
        <f t="array" ref="O303">IF(AND(E303="Retiro",F303&gt;=40000,G303="Sucursal"),
  SUMPRODUCT(
    (B$4:B303=B303)*
    (E$4:E303="Depósito")*
    (F$4:F303&gt;=F303*0.8)*
    (D$4:D303&gt;=D303-3)*
    (D$4:D303&lt;D303)
  ),0)</f>
        <v>0</v>
      </c>
    </row>
    <row r="304" spans="1:15" x14ac:dyDescent="0.25">
      <c r="A304" s="166" t="str">
        <f>"TOTAL TRANSACCIONES: "&amp;COUNTA($A$4:$A$303)</f>
        <v>TOTAL TRANSACCIONES: 300</v>
      </c>
      <c r="B304" s="148"/>
      <c r="C304" s="148"/>
      <c r="D304" s="148"/>
      <c r="E304" s="148"/>
      <c r="F304" s="148"/>
      <c r="G304" s="148"/>
      <c r="H304" s="148"/>
      <c r="I304" s="167" t="str">
        <f>"ALERTAS: "&amp;COUNTIF(L4:L303,"&lt;&gt;Normal")</f>
        <v>ALERTAS: 122</v>
      </c>
      <c r="J304" s="148"/>
      <c r="K304" s="148"/>
      <c r="L304" s="148"/>
    </row>
  </sheetData>
  <mergeCells count="4">
    <mergeCell ref="A1:L1"/>
    <mergeCell ref="A2:L2"/>
    <mergeCell ref="A304:H304"/>
    <mergeCell ref="I304:L304"/>
  </mergeCells>
  <conditionalFormatting sqref="K4:L303">
    <cfRule type="expression" dxfId="65" priority="1">
      <formula>$K4="✔️"</formula>
    </cfRule>
    <cfRule type="expression" dxfId="64" priority="2">
      <formula>$K4="⚠️"</formula>
    </cfRule>
  </conditionalFormatting>
  <pageMargins left="0.75" right="0.75" top="1" bottom="1" header="0.5" footer="0.5"/>
  <ignoredErrors>
    <ignoredError sqref="N5:O15 N16:O303" formulaRange="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366EE-A0FA-422F-97E9-69D25BF85F3E}">
  <sheetPr codeName="Hoja10"/>
  <dimension ref="A1:M88"/>
  <sheetViews>
    <sheetView showGridLines="0" topLeftCell="G1" workbookViewId="0">
      <selection activeCell="L4" sqref="L4"/>
    </sheetView>
  </sheetViews>
  <sheetFormatPr baseColWidth="10" defaultColWidth="9.140625" defaultRowHeight="15" x14ac:dyDescent="0.25"/>
  <cols>
    <col min="1" max="1" width="7" customWidth="1"/>
    <col min="2" max="2" width="6" customWidth="1"/>
    <col min="3" max="3" width="22" customWidth="1"/>
    <col min="4" max="5" width="12" customWidth="1"/>
    <col min="6" max="7" width="14" customWidth="1"/>
    <col min="8" max="8" width="22" customWidth="1"/>
    <col min="9" max="9" width="23.42578125" customWidth="1"/>
    <col min="10" max="10" width="22" customWidth="1"/>
    <col min="11" max="12" width="16" customWidth="1"/>
    <col min="13" max="13" width="25.140625" customWidth="1"/>
  </cols>
  <sheetData>
    <row r="1" spans="1:13" ht="27.95" customHeight="1" x14ac:dyDescent="0.25">
      <c r="A1" s="147" t="s">
        <v>783</v>
      </c>
      <c r="B1" s="148"/>
      <c r="C1" s="148"/>
      <c r="D1" s="148"/>
      <c r="E1" s="148"/>
      <c r="F1" s="148"/>
      <c r="G1" s="148"/>
      <c r="H1" s="148"/>
      <c r="I1" s="148"/>
      <c r="J1" s="148"/>
      <c r="K1" s="148"/>
      <c r="L1" s="148"/>
      <c r="M1" s="148"/>
    </row>
    <row r="2" spans="1:13" ht="15.95" customHeight="1" x14ac:dyDescent="0.25">
      <c r="A2" s="165" t="s">
        <v>784</v>
      </c>
      <c r="B2" s="148"/>
      <c r="C2" s="148"/>
      <c r="D2" s="148"/>
      <c r="E2" s="148"/>
      <c r="F2" s="148"/>
      <c r="G2" s="148"/>
      <c r="H2" s="148"/>
      <c r="I2" s="148"/>
      <c r="J2" s="148"/>
      <c r="K2" s="148"/>
      <c r="L2" s="148"/>
      <c r="M2" s="148"/>
    </row>
    <row r="3" spans="1:13" ht="32.1" customHeight="1" x14ac:dyDescent="0.25">
      <c r="A3" s="74" t="s">
        <v>785</v>
      </c>
      <c r="B3" s="74" t="s">
        <v>479</v>
      </c>
      <c r="C3" s="74" t="s">
        <v>481</v>
      </c>
      <c r="D3" s="74" t="s">
        <v>786</v>
      </c>
      <c r="E3" s="74" t="s">
        <v>482</v>
      </c>
      <c r="F3" s="74" t="s">
        <v>483</v>
      </c>
      <c r="G3" s="74" t="s">
        <v>374</v>
      </c>
      <c r="H3" s="74" t="s">
        <v>66</v>
      </c>
      <c r="I3" s="74" t="s">
        <v>787</v>
      </c>
      <c r="J3" s="74" t="s">
        <v>788</v>
      </c>
      <c r="K3" s="74" t="s">
        <v>789</v>
      </c>
      <c r="L3" s="74" t="s">
        <v>415</v>
      </c>
      <c r="M3" s="74" t="s">
        <v>790</v>
      </c>
    </row>
    <row r="4" spans="1:13" ht="66" customHeight="1" x14ac:dyDescent="0.25">
      <c r="A4" s="75">
        <v>1</v>
      </c>
      <c r="B4" s="75">
        <v>5</v>
      </c>
      <c r="C4" s="56" t="s">
        <v>35</v>
      </c>
      <c r="D4" s="56" t="s">
        <v>500</v>
      </c>
      <c r="E4" s="75" t="s">
        <v>490</v>
      </c>
      <c r="F4" s="76">
        <v>48000</v>
      </c>
      <c r="G4" s="56" t="s">
        <v>494</v>
      </c>
      <c r="H4" s="56" t="s">
        <v>390</v>
      </c>
      <c r="I4" s="56" t="s">
        <v>791</v>
      </c>
      <c r="J4" s="56" t="s">
        <v>792</v>
      </c>
      <c r="K4" s="56" t="s">
        <v>681</v>
      </c>
      <c r="L4" s="78" t="s">
        <v>416</v>
      </c>
      <c r="M4" s="56" t="s">
        <v>793</v>
      </c>
    </row>
    <row r="5" spans="1:13" ht="66" customHeight="1" x14ac:dyDescent="0.25">
      <c r="A5" s="59">
        <v>2</v>
      </c>
      <c r="B5" s="59">
        <v>6</v>
      </c>
      <c r="C5" s="55" t="s">
        <v>35</v>
      </c>
      <c r="D5" s="55" t="s">
        <v>502</v>
      </c>
      <c r="E5" s="59" t="s">
        <v>490</v>
      </c>
      <c r="F5" s="77">
        <v>47500</v>
      </c>
      <c r="G5" s="55" t="s">
        <v>494</v>
      </c>
      <c r="H5" s="55" t="s">
        <v>390</v>
      </c>
      <c r="I5" s="55" t="s">
        <v>791</v>
      </c>
      <c r="J5" s="55" t="s">
        <v>792</v>
      </c>
      <c r="K5" s="55" t="s">
        <v>755</v>
      </c>
      <c r="L5" s="61" t="s">
        <v>420</v>
      </c>
      <c r="M5" s="55" t="s">
        <v>793</v>
      </c>
    </row>
    <row r="6" spans="1:13" ht="66" customHeight="1" x14ac:dyDescent="0.25">
      <c r="A6" s="75">
        <v>3</v>
      </c>
      <c r="B6" s="75">
        <v>15</v>
      </c>
      <c r="C6" s="56" t="s">
        <v>25</v>
      </c>
      <c r="D6" s="56" t="s">
        <v>516</v>
      </c>
      <c r="E6" s="75" t="s">
        <v>490</v>
      </c>
      <c r="F6" s="76">
        <v>72000</v>
      </c>
      <c r="G6" s="56" t="s">
        <v>494</v>
      </c>
      <c r="H6" s="56" t="s">
        <v>404</v>
      </c>
      <c r="I6" s="56" t="s">
        <v>794</v>
      </c>
      <c r="J6" s="56" t="s">
        <v>795</v>
      </c>
      <c r="K6" s="56" t="s">
        <v>684</v>
      </c>
      <c r="L6" s="63" t="s">
        <v>423</v>
      </c>
      <c r="M6" s="56" t="s">
        <v>796</v>
      </c>
    </row>
    <row r="7" spans="1:13" ht="66" customHeight="1" x14ac:dyDescent="0.25">
      <c r="A7" s="59">
        <v>4</v>
      </c>
      <c r="B7" s="59">
        <v>18</v>
      </c>
      <c r="C7" s="55" t="s">
        <v>39</v>
      </c>
      <c r="D7" s="55" t="s">
        <v>522</v>
      </c>
      <c r="E7" s="59" t="s">
        <v>490</v>
      </c>
      <c r="F7" s="77">
        <v>85000</v>
      </c>
      <c r="G7" s="55" t="s">
        <v>494</v>
      </c>
      <c r="H7" s="55" t="s">
        <v>404</v>
      </c>
      <c r="I7" s="55" t="s">
        <v>794</v>
      </c>
      <c r="J7" s="55" t="s">
        <v>795</v>
      </c>
      <c r="K7" s="55" t="s">
        <v>757</v>
      </c>
      <c r="L7" s="78" t="s">
        <v>416</v>
      </c>
      <c r="M7" s="55" t="s">
        <v>796</v>
      </c>
    </row>
    <row r="8" spans="1:13" ht="66" customHeight="1" x14ac:dyDescent="0.25">
      <c r="A8" s="75">
        <v>5</v>
      </c>
      <c r="B8" s="75">
        <v>24</v>
      </c>
      <c r="C8" s="56" t="s">
        <v>60</v>
      </c>
      <c r="D8" s="56" t="s">
        <v>531</v>
      </c>
      <c r="E8" s="75" t="s">
        <v>490</v>
      </c>
      <c r="F8" s="76">
        <v>49000</v>
      </c>
      <c r="G8" s="56" t="s">
        <v>494</v>
      </c>
      <c r="H8" s="56" t="s">
        <v>390</v>
      </c>
      <c r="I8" s="56" t="s">
        <v>791</v>
      </c>
      <c r="J8" s="56" t="s">
        <v>792</v>
      </c>
      <c r="K8" s="56" t="s">
        <v>686</v>
      </c>
      <c r="L8" s="61" t="s">
        <v>420</v>
      </c>
      <c r="M8" s="56" t="s">
        <v>793</v>
      </c>
    </row>
    <row r="9" spans="1:13" ht="66" customHeight="1" x14ac:dyDescent="0.25">
      <c r="A9" s="59">
        <v>6</v>
      </c>
      <c r="B9" s="59">
        <v>25</v>
      </c>
      <c r="C9" s="55" t="s">
        <v>60</v>
      </c>
      <c r="D9" s="55" t="s">
        <v>533</v>
      </c>
      <c r="E9" s="59" t="s">
        <v>490</v>
      </c>
      <c r="F9" s="77">
        <v>48500</v>
      </c>
      <c r="G9" s="55" t="s">
        <v>494</v>
      </c>
      <c r="H9" s="55" t="s">
        <v>390</v>
      </c>
      <c r="I9" s="55" t="s">
        <v>791</v>
      </c>
      <c r="J9" s="55" t="s">
        <v>792</v>
      </c>
      <c r="K9" s="55" t="s">
        <v>797</v>
      </c>
      <c r="L9" s="63" t="s">
        <v>423</v>
      </c>
      <c r="M9" s="55" t="s">
        <v>793</v>
      </c>
    </row>
    <row r="10" spans="1:13" ht="66" customHeight="1" x14ac:dyDescent="0.25">
      <c r="A10" s="75">
        <v>7</v>
      </c>
      <c r="B10" s="75">
        <v>29</v>
      </c>
      <c r="C10" s="56" t="s">
        <v>22</v>
      </c>
      <c r="D10" s="56" t="s">
        <v>537</v>
      </c>
      <c r="E10" s="75" t="s">
        <v>490</v>
      </c>
      <c r="F10" s="76">
        <v>98000</v>
      </c>
      <c r="G10" s="56" t="s">
        <v>494</v>
      </c>
      <c r="H10" s="56" t="s">
        <v>404</v>
      </c>
      <c r="I10" s="56" t="s">
        <v>794</v>
      </c>
      <c r="J10" s="56" t="s">
        <v>795</v>
      </c>
      <c r="K10" s="56" t="s">
        <v>758</v>
      </c>
      <c r="L10" s="78" t="s">
        <v>416</v>
      </c>
      <c r="M10" s="56" t="s">
        <v>796</v>
      </c>
    </row>
    <row r="11" spans="1:13" ht="66" customHeight="1" x14ac:dyDescent="0.25">
      <c r="A11" s="59">
        <v>8</v>
      </c>
      <c r="B11" s="59">
        <v>31</v>
      </c>
      <c r="C11" s="55" t="s">
        <v>31</v>
      </c>
      <c r="D11" s="55" t="s">
        <v>540</v>
      </c>
      <c r="E11" s="59" t="s">
        <v>490</v>
      </c>
      <c r="F11" s="77">
        <v>62000</v>
      </c>
      <c r="G11" s="55" t="s">
        <v>494</v>
      </c>
      <c r="H11" s="55" t="s">
        <v>404</v>
      </c>
      <c r="I11" s="55" t="s">
        <v>794</v>
      </c>
      <c r="J11" s="55" t="s">
        <v>795</v>
      </c>
      <c r="K11" s="55" t="s">
        <v>683</v>
      </c>
      <c r="L11" s="61" t="s">
        <v>420</v>
      </c>
      <c r="M11" s="55" t="s">
        <v>796</v>
      </c>
    </row>
    <row r="12" spans="1:13" ht="66" customHeight="1" x14ac:dyDescent="0.25">
      <c r="A12" s="75">
        <v>9</v>
      </c>
      <c r="B12" s="75">
        <v>35</v>
      </c>
      <c r="C12" s="56" t="s">
        <v>48</v>
      </c>
      <c r="D12" s="56" t="s">
        <v>547</v>
      </c>
      <c r="E12" s="75" t="s">
        <v>548</v>
      </c>
      <c r="F12" s="76">
        <v>65000</v>
      </c>
      <c r="G12" s="56" t="s">
        <v>494</v>
      </c>
      <c r="H12" s="56" t="s">
        <v>404</v>
      </c>
      <c r="I12" s="56" t="s">
        <v>794</v>
      </c>
      <c r="J12" s="56" t="s">
        <v>795</v>
      </c>
      <c r="K12" s="56" t="s">
        <v>759</v>
      </c>
      <c r="L12" s="63" t="s">
        <v>423</v>
      </c>
      <c r="M12" s="56" t="s">
        <v>796</v>
      </c>
    </row>
    <row r="13" spans="1:13" ht="66" customHeight="1" x14ac:dyDescent="0.25">
      <c r="A13" s="59">
        <v>10</v>
      </c>
      <c r="B13" s="59">
        <v>38</v>
      </c>
      <c r="C13" s="55" t="s">
        <v>63</v>
      </c>
      <c r="D13" s="55" t="s">
        <v>554</v>
      </c>
      <c r="E13" s="59" t="s">
        <v>490</v>
      </c>
      <c r="F13" s="77">
        <v>105000</v>
      </c>
      <c r="G13" s="55" t="s">
        <v>494</v>
      </c>
      <c r="H13" s="55" t="s">
        <v>404</v>
      </c>
      <c r="I13" s="55" t="s">
        <v>794</v>
      </c>
      <c r="J13" s="55" t="s">
        <v>795</v>
      </c>
      <c r="K13" s="55" t="s">
        <v>798</v>
      </c>
      <c r="L13" s="78" t="s">
        <v>416</v>
      </c>
      <c r="M13" s="55" t="s">
        <v>796</v>
      </c>
    </row>
    <row r="14" spans="1:13" ht="66" customHeight="1" x14ac:dyDescent="0.25">
      <c r="A14" s="75">
        <v>11</v>
      </c>
      <c r="B14" s="75">
        <v>40</v>
      </c>
      <c r="C14" s="56" t="s">
        <v>472</v>
      </c>
      <c r="D14" s="56" t="s">
        <v>558</v>
      </c>
      <c r="E14" s="75" t="s">
        <v>490</v>
      </c>
      <c r="F14" s="76">
        <v>88000</v>
      </c>
      <c r="G14" s="56" t="s">
        <v>494</v>
      </c>
      <c r="H14" s="56" t="s">
        <v>404</v>
      </c>
      <c r="I14" s="56" t="s">
        <v>794</v>
      </c>
      <c r="J14" s="56" t="s">
        <v>795</v>
      </c>
      <c r="K14" s="56" t="s">
        <v>690</v>
      </c>
      <c r="L14" s="61" t="s">
        <v>420</v>
      </c>
      <c r="M14" s="56" t="s">
        <v>796</v>
      </c>
    </row>
    <row r="15" spans="1:13" ht="66" customHeight="1" x14ac:dyDescent="0.25">
      <c r="A15" s="59">
        <v>12</v>
      </c>
      <c r="B15" s="59">
        <v>44</v>
      </c>
      <c r="C15" s="55" t="s">
        <v>42</v>
      </c>
      <c r="D15" s="55" t="s">
        <v>565</v>
      </c>
      <c r="E15" s="59" t="s">
        <v>490</v>
      </c>
      <c r="F15" s="77">
        <v>54000</v>
      </c>
      <c r="G15" s="55" t="s">
        <v>494</v>
      </c>
      <c r="H15" s="55" t="s">
        <v>404</v>
      </c>
      <c r="I15" s="55" t="s">
        <v>794</v>
      </c>
      <c r="J15" s="55" t="s">
        <v>795</v>
      </c>
      <c r="K15" s="55" t="s">
        <v>799</v>
      </c>
      <c r="L15" s="63" t="s">
        <v>423</v>
      </c>
      <c r="M15" s="55" t="s">
        <v>796</v>
      </c>
    </row>
    <row r="16" spans="1:13" ht="66" customHeight="1" x14ac:dyDescent="0.25">
      <c r="A16" s="75">
        <v>13</v>
      </c>
      <c r="B16" s="75">
        <v>48</v>
      </c>
      <c r="C16" s="56" t="s">
        <v>64</v>
      </c>
      <c r="D16" s="56" t="s">
        <v>571</v>
      </c>
      <c r="E16" s="75" t="s">
        <v>548</v>
      </c>
      <c r="F16" s="76">
        <v>42000</v>
      </c>
      <c r="G16" s="56" t="s">
        <v>494</v>
      </c>
      <c r="H16" s="56" t="s">
        <v>404</v>
      </c>
      <c r="I16" s="56" t="s">
        <v>794</v>
      </c>
      <c r="J16" s="56" t="s">
        <v>795</v>
      </c>
      <c r="K16" s="56" t="s">
        <v>687</v>
      </c>
      <c r="L16" s="78" t="s">
        <v>416</v>
      </c>
      <c r="M16" s="56" t="s">
        <v>796</v>
      </c>
    </row>
    <row r="17" spans="1:13" ht="66" customHeight="1" x14ac:dyDescent="0.25">
      <c r="A17" s="59">
        <v>14</v>
      </c>
      <c r="B17" s="59">
        <v>49</v>
      </c>
      <c r="C17" s="55" t="s">
        <v>470</v>
      </c>
      <c r="D17" s="55" t="s">
        <v>573</v>
      </c>
      <c r="E17" s="59" t="s">
        <v>490</v>
      </c>
      <c r="F17" s="77">
        <v>115000</v>
      </c>
      <c r="G17" s="55" t="s">
        <v>494</v>
      </c>
      <c r="H17" s="55" t="s">
        <v>404</v>
      </c>
      <c r="I17" s="55" t="s">
        <v>794</v>
      </c>
      <c r="J17" s="55" t="s">
        <v>795</v>
      </c>
      <c r="K17" s="55" t="s">
        <v>761</v>
      </c>
      <c r="L17" s="61" t="s">
        <v>420</v>
      </c>
      <c r="M17" s="55" t="s">
        <v>796</v>
      </c>
    </row>
    <row r="18" spans="1:13" ht="66" customHeight="1" x14ac:dyDescent="0.25">
      <c r="A18" s="75">
        <v>15</v>
      </c>
      <c r="B18" s="75">
        <v>52</v>
      </c>
      <c r="C18" s="56" t="s">
        <v>44</v>
      </c>
      <c r="D18" s="56" t="s">
        <v>577</v>
      </c>
      <c r="E18" s="75" t="s">
        <v>490</v>
      </c>
      <c r="F18" s="76">
        <v>92000</v>
      </c>
      <c r="G18" s="56" t="s">
        <v>494</v>
      </c>
      <c r="H18" s="56" t="s">
        <v>404</v>
      </c>
      <c r="I18" s="56" t="s">
        <v>794</v>
      </c>
      <c r="J18" s="56" t="s">
        <v>795</v>
      </c>
      <c r="K18" s="56" t="s">
        <v>691</v>
      </c>
      <c r="L18" s="63" t="s">
        <v>423</v>
      </c>
      <c r="M18" s="56" t="s">
        <v>796</v>
      </c>
    </row>
    <row r="19" spans="1:13" ht="66" customHeight="1" x14ac:dyDescent="0.25">
      <c r="A19" s="59">
        <v>16</v>
      </c>
      <c r="B19" s="59">
        <v>64</v>
      </c>
      <c r="C19" s="55" t="s">
        <v>37</v>
      </c>
      <c r="D19" s="55" t="s">
        <v>591</v>
      </c>
      <c r="E19" s="59" t="s">
        <v>490</v>
      </c>
      <c r="F19" s="77">
        <v>50000</v>
      </c>
      <c r="G19" s="55" t="s">
        <v>494</v>
      </c>
      <c r="H19" s="55" t="s">
        <v>404</v>
      </c>
      <c r="I19" s="55" t="s">
        <v>794</v>
      </c>
      <c r="J19" s="55" t="s">
        <v>795</v>
      </c>
      <c r="K19" s="55" t="s">
        <v>800</v>
      </c>
      <c r="L19" s="78" t="s">
        <v>416</v>
      </c>
      <c r="M19" s="55" t="s">
        <v>796</v>
      </c>
    </row>
    <row r="20" spans="1:13" ht="66" customHeight="1" x14ac:dyDescent="0.25">
      <c r="A20" s="75">
        <v>17</v>
      </c>
      <c r="B20" s="75">
        <v>65</v>
      </c>
      <c r="C20" s="56" t="s">
        <v>48</v>
      </c>
      <c r="D20" s="56" t="s">
        <v>592</v>
      </c>
      <c r="E20" s="75" t="s">
        <v>548</v>
      </c>
      <c r="F20" s="76">
        <v>58000</v>
      </c>
      <c r="G20" s="56" t="s">
        <v>494</v>
      </c>
      <c r="H20" s="56" t="s">
        <v>404</v>
      </c>
      <c r="I20" s="56" t="s">
        <v>794</v>
      </c>
      <c r="J20" s="56" t="s">
        <v>795</v>
      </c>
      <c r="K20" s="56" t="s">
        <v>801</v>
      </c>
      <c r="L20" s="61" t="s">
        <v>420</v>
      </c>
      <c r="M20" s="56" t="s">
        <v>796</v>
      </c>
    </row>
    <row r="21" spans="1:13" ht="66" customHeight="1" x14ac:dyDescent="0.25">
      <c r="A21" s="59">
        <v>18</v>
      </c>
      <c r="B21" s="59">
        <v>70</v>
      </c>
      <c r="C21" s="55" t="s">
        <v>42</v>
      </c>
      <c r="D21" s="55" t="s">
        <v>598</v>
      </c>
      <c r="E21" s="59" t="s">
        <v>490</v>
      </c>
      <c r="F21" s="77">
        <v>51000</v>
      </c>
      <c r="G21" s="55" t="s">
        <v>494</v>
      </c>
      <c r="H21" s="55" t="s">
        <v>404</v>
      </c>
      <c r="I21" s="55" t="s">
        <v>794</v>
      </c>
      <c r="J21" s="55" t="s">
        <v>795</v>
      </c>
      <c r="K21" s="55" t="s">
        <v>693</v>
      </c>
      <c r="L21" s="63" t="s">
        <v>423</v>
      </c>
      <c r="M21" s="55" t="s">
        <v>796</v>
      </c>
    </row>
    <row r="22" spans="1:13" ht="66" customHeight="1" x14ac:dyDescent="0.25">
      <c r="A22" s="75">
        <v>19</v>
      </c>
      <c r="B22" s="75">
        <v>79</v>
      </c>
      <c r="C22" s="56" t="s">
        <v>27</v>
      </c>
      <c r="D22" s="56" t="s">
        <v>589</v>
      </c>
      <c r="E22" s="75" t="s">
        <v>548</v>
      </c>
      <c r="F22" s="76">
        <v>95000</v>
      </c>
      <c r="G22" s="56" t="s">
        <v>494</v>
      </c>
      <c r="H22" s="56" t="s">
        <v>404</v>
      </c>
      <c r="I22" s="56" t="s">
        <v>794</v>
      </c>
      <c r="J22" s="56" t="s">
        <v>795</v>
      </c>
      <c r="K22" s="56" t="s">
        <v>802</v>
      </c>
      <c r="L22" s="78" t="s">
        <v>416</v>
      </c>
      <c r="M22" s="56" t="s">
        <v>796</v>
      </c>
    </row>
    <row r="23" spans="1:13" ht="66" customHeight="1" x14ac:dyDescent="0.25">
      <c r="A23" s="59">
        <v>20</v>
      </c>
      <c r="B23" s="59">
        <v>80</v>
      </c>
      <c r="C23" s="55" t="s">
        <v>41</v>
      </c>
      <c r="D23" s="55" t="s">
        <v>594</v>
      </c>
      <c r="E23" s="59" t="s">
        <v>490</v>
      </c>
      <c r="F23" s="77">
        <v>68000</v>
      </c>
      <c r="G23" s="55" t="s">
        <v>494</v>
      </c>
      <c r="H23" s="55" t="s">
        <v>384</v>
      </c>
      <c r="I23" s="55" t="s">
        <v>803</v>
      </c>
      <c r="J23" s="55" t="s">
        <v>804</v>
      </c>
      <c r="K23" s="55" t="s">
        <v>805</v>
      </c>
      <c r="L23" s="61" t="s">
        <v>420</v>
      </c>
      <c r="M23" s="55" t="s">
        <v>806</v>
      </c>
    </row>
    <row r="24" spans="1:13" ht="66" customHeight="1" x14ac:dyDescent="0.25">
      <c r="A24" s="75">
        <v>21</v>
      </c>
      <c r="B24" s="75">
        <v>85</v>
      </c>
      <c r="C24" s="56" t="s">
        <v>37</v>
      </c>
      <c r="D24" s="56" t="s">
        <v>606</v>
      </c>
      <c r="E24" s="75" t="s">
        <v>490</v>
      </c>
      <c r="F24" s="76">
        <v>52000</v>
      </c>
      <c r="G24" s="56" t="s">
        <v>494</v>
      </c>
      <c r="H24" s="56" t="s">
        <v>404</v>
      </c>
      <c r="I24" s="56" t="s">
        <v>794</v>
      </c>
      <c r="J24" s="56" t="s">
        <v>795</v>
      </c>
      <c r="K24" s="56" t="s">
        <v>763</v>
      </c>
      <c r="L24" s="63" t="s">
        <v>423</v>
      </c>
      <c r="M24" s="56" t="s">
        <v>796</v>
      </c>
    </row>
    <row r="25" spans="1:13" ht="66" customHeight="1" x14ac:dyDescent="0.25">
      <c r="A25" s="59">
        <v>22</v>
      </c>
      <c r="B25" s="59">
        <v>95</v>
      </c>
      <c r="C25" s="55" t="s">
        <v>36</v>
      </c>
      <c r="D25" s="55" t="s">
        <v>616</v>
      </c>
      <c r="E25" s="59" t="s">
        <v>490</v>
      </c>
      <c r="F25" s="77">
        <v>46000</v>
      </c>
      <c r="G25" s="55" t="s">
        <v>494</v>
      </c>
      <c r="H25" s="55" t="s">
        <v>390</v>
      </c>
      <c r="I25" s="55" t="s">
        <v>791</v>
      </c>
      <c r="J25" s="55" t="s">
        <v>792</v>
      </c>
      <c r="K25" s="55" t="s">
        <v>807</v>
      </c>
      <c r="L25" s="78" t="s">
        <v>416</v>
      </c>
      <c r="M25" s="55" t="s">
        <v>793</v>
      </c>
    </row>
    <row r="26" spans="1:13" ht="66" customHeight="1" x14ac:dyDescent="0.25">
      <c r="A26" s="75">
        <v>23</v>
      </c>
      <c r="B26" s="75">
        <v>96</v>
      </c>
      <c r="C26" s="56" t="s">
        <v>36</v>
      </c>
      <c r="D26" s="56" t="s">
        <v>618</v>
      </c>
      <c r="E26" s="75" t="s">
        <v>490</v>
      </c>
      <c r="F26" s="76">
        <v>45500</v>
      </c>
      <c r="G26" s="56" t="s">
        <v>494</v>
      </c>
      <c r="H26" s="56" t="s">
        <v>390</v>
      </c>
      <c r="I26" s="56" t="s">
        <v>791</v>
      </c>
      <c r="J26" s="56" t="s">
        <v>792</v>
      </c>
      <c r="K26" s="56" t="s">
        <v>808</v>
      </c>
      <c r="L26" s="61" t="s">
        <v>420</v>
      </c>
      <c r="M26" s="56" t="s">
        <v>793</v>
      </c>
    </row>
    <row r="27" spans="1:13" ht="66" customHeight="1" x14ac:dyDescent="0.25">
      <c r="A27" s="59">
        <v>24</v>
      </c>
      <c r="B27" s="59">
        <v>103</v>
      </c>
      <c r="C27" s="55" t="s">
        <v>25</v>
      </c>
      <c r="D27" s="55" t="s">
        <v>626</v>
      </c>
      <c r="E27" s="59" t="s">
        <v>490</v>
      </c>
      <c r="F27" s="77">
        <v>78000</v>
      </c>
      <c r="G27" s="55" t="s">
        <v>494</v>
      </c>
      <c r="H27" s="55" t="s">
        <v>404</v>
      </c>
      <c r="I27" s="55" t="s">
        <v>794</v>
      </c>
      <c r="J27" s="55" t="s">
        <v>795</v>
      </c>
      <c r="K27" s="55" t="s">
        <v>809</v>
      </c>
      <c r="L27" s="63" t="s">
        <v>423</v>
      </c>
      <c r="M27" s="55" t="s">
        <v>796</v>
      </c>
    </row>
    <row r="28" spans="1:13" ht="66" customHeight="1" x14ac:dyDescent="0.25">
      <c r="A28" s="75">
        <v>25</v>
      </c>
      <c r="B28" s="75">
        <v>106</v>
      </c>
      <c r="C28" s="56" t="s">
        <v>39</v>
      </c>
      <c r="D28" s="56" t="s">
        <v>629</v>
      </c>
      <c r="E28" s="75" t="s">
        <v>490</v>
      </c>
      <c r="F28" s="76">
        <v>92000</v>
      </c>
      <c r="G28" s="56" t="s">
        <v>494</v>
      </c>
      <c r="H28" s="56" t="s">
        <v>404</v>
      </c>
      <c r="I28" s="56" t="s">
        <v>794</v>
      </c>
      <c r="J28" s="56" t="s">
        <v>795</v>
      </c>
      <c r="K28" s="56" t="s">
        <v>810</v>
      </c>
      <c r="L28" s="78" t="s">
        <v>416</v>
      </c>
      <c r="M28" s="56" t="s">
        <v>796</v>
      </c>
    </row>
    <row r="29" spans="1:13" ht="66" customHeight="1" x14ac:dyDescent="0.25">
      <c r="A29" s="59">
        <v>26</v>
      </c>
      <c r="B29" s="59">
        <v>107</v>
      </c>
      <c r="C29" s="55" t="s">
        <v>42</v>
      </c>
      <c r="D29" s="55" t="s">
        <v>630</v>
      </c>
      <c r="E29" s="59" t="s">
        <v>490</v>
      </c>
      <c r="F29" s="77">
        <v>53500</v>
      </c>
      <c r="G29" s="55" t="s">
        <v>494</v>
      </c>
      <c r="H29" s="55" t="s">
        <v>404</v>
      </c>
      <c r="I29" s="55" t="s">
        <v>794</v>
      </c>
      <c r="J29" s="55" t="s">
        <v>795</v>
      </c>
      <c r="K29" s="55" t="s">
        <v>764</v>
      </c>
      <c r="L29" s="61" t="s">
        <v>420</v>
      </c>
      <c r="M29" s="55" t="s">
        <v>796</v>
      </c>
    </row>
    <row r="30" spans="1:13" ht="66" customHeight="1" x14ac:dyDescent="0.25">
      <c r="A30" s="75">
        <v>27</v>
      </c>
      <c r="B30" s="75">
        <v>108</v>
      </c>
      <c r="C30" s="56" t="s">
        <v>48</v>
      </c>
      <c r="D30" s="56" t="s">
        <v>631</v>
      </c>
      <c r="E30" s="75" t="s">
        <v>548</v>
      </c>
      <c r="F30" s="76">
        <v>62000</v>
      </c>
      <c r="G30" s="56" t="s">
        <v>494</v>
      </c>
      <c r="H30" s="56" t="s">
        <v>404</v>
      </c>
      <c r="I30" s="56" t="s">
        <v>794</v>
      </c>
      <c r="J30" s="56" t="s">
        <v>795</v>
      </c>
      <c r="K30" s="56" t="s">
        <v>694</v>
      </c>
      <c r="L30" s="63" t="s">
        <v>423</v>
      </c>
      <c r="M30" s="56" t="s">
        <v>796</v>
      </c>
    </row>
    <row r="31" spans="1:13" ht="66" customHeight="1" x14ac:dyDescent="0.25">
      <c r="A31" s="59">
        <v>28</v>
      </c>
      <c r="B31" s="59">
        <v>114</v>
      </c>
      <c r="C31" s="55" t="s">
        <v>22</v>
      </c>
      <c r="D31" s="55" t="s">
        <v>638</v>
      </c>
      <c r="E31" s="59" t="s">
        <v>490</v>
      </c>
      <c r="F31" s="77">
        <v>102000</v>
      </c>
      <c r="G31" s="55" t="s">
        <v>494</v>
      </c>
      <c r="H31" s="55" t="s">
        <v>404</v>
      </c>
      <c r="I31" s="55" t="s">
        <v>794</v>
      </c>
      <c r="J31" s="55" t="s">
        <v>795</v>
      </c>
      <c r="K31" s="55" t="s">
        <v>811</v>
      </c>
      <c r="L31" s="78" t="s">
        <v>416</v>
      </c>
      <c r="M31" s="55" t="s">
        <v>796</v>
      </c>
    </row>
    <row r="32" spans="1:13" ht="66" customHeight="1" x14ac:dyDescent="0.25">
      <c r="A32" s="75">
        <v>29</v>
      </c>
      <c r="B32" s="75">
        <v>116</v>
      </c>
      <c r="C32" s="56" t="s">
        <v>31</v>
      </c>
      <c r="D32" s="56" t="s">
        <v>640</v>
      </c>
      <c r="E32" s="75" t="s">
        <v>490</v>
      </c>
      <c r="F32" s="76">
        <v>59000</v>
      </c>
      <c r="G32" s="56" t="s">
        <v>494</v>
      </c>
      <c r="H32" s="56" t="s">
        <v>404</v>
      </c>
      <c r="I32" s="56" t="s">
        <v>794</v>
      </c>
      <c r="J32" s="56" t="s">
        <v>795</v>
      </c>
      <c r="K32" s="56" t="s">
        <v>765</v>
      </c>
      <c r="L32" s="61" t="s">
        <v>420</v>
      </c>
      <c r="M32" s="56" t="s">
        <v>796</v>
      </c>
    </row>
    <row r="33" spans="1:13" ht="66" customHeight="1" x14ac:dyDescent="0.25">
      <c r="A33" s="59">
        <v>30</v>
      </c>
      <c r="B33" s="59">
        <v>118</v>
      </c>
      <c r="C33" s="55" t="s">
        <v>44</v>
      </c>
      <c r="D33" s="55" t="s">
        <v>642</v>
      </c>
      <c r="E33" s="59" t="s">
        <v>490</v>
      </c>
      <c r="F33" s="77">
        <v>98000</v>
      </c>
      <c r="G33" s="55" t="s">
        <v>494</v>
      </c>
      <c r="H33" s="55" t="s">
        <v>404</v>
      </c>
      <c r="I33" s="55" t="s">
        <v>794</v>
      </c>
      <c r="J33" s="55" t="s">
        <v>795</v>
      </c>
      <c r="K33" s="55" t="s">
        <v>812</v>
      </c>
      <c r="L33" s="63" t="s">
        <v>423</v>
      </c>
      <c r="M33" s="55" t="s">
        <v>796</v>
      </c>
    </row>
    <row r="34" spans="1:13" ht="66" customHeight="1" x14ac:dyDescent="0.25">
      <c r="A34" s="75">
        <v>31</v>
      </c>
      <c r="B34" s="75">
        <v>124</v>
      </c>
      <c r="C34" s="56" t="s">
        <v>472</v>
      </c>
      <c r="D34" s="56" t="s">
        <v>648</v>
      </c>
      <c r="E34" s="75" t="s">
        <v>490</v>
      </c>
      <c r="F34" s="76">
        <v>90000</v>
      </c>
      <c r="G34" s="56" t="s">
        <v>494</v>
      </c>
      <c r="H34" s="56" t="s">
        <v>404</v>
      </c>
      <c r="I34" s="56" t="s">
        <v>794</v>
      </c>
      <c r="J34" s="56" t="s">
        <v>795</v>
      </c>
      <c r="K34" s="56" t="s">
        <v>813</v>
      </c>
      <c r="L34" s="78" t="s">
        <v>416</v>
      </c>
      <c r="M34" s="56" t="s">
        <v>796</v>
      </c>
    </row>
    <row r="35" spans="1:13" ht="66" customHeight="1" x14ac:dyDescent="0.25">
      <c r="A35" s="59">
        <v>32</v>
      </c>
      <c r="B35" s="59">
        <v>128</v>
      </c>
      <c r="C35" s="55" t="s">
        <v>41</v>
      </c>
      <c r="D35" s="55" t="s">
        <v>652</v>
      </c>
      <c r="E35" s="59" t="s">
        <v>490</v>
      </c>
      <c r="F35" s="77">
        <v>70000</v>
      </c>
      <c r="G35" s="55" t="s">
        <v>494</v>
      </c>
      <c r="H35" s="55" t="s">
        <v>384</v>
      </c>
      <c r="I35" s="55" t="s">
        <v>803</v>
      </c>
      <c r="J35" s="55" t="s">
        <v>804</v>
      </c>
      <c r="K35" s="55" t="s">
        <v>695</v>
      </c>
      <c r="L35" s="61" t="s">
        <v>420</v>
      </c>
      <c r="M35" s="55" t="s">
        <v>806</v>
      </c>
    </row>
    <row r="36" spans="1:13" ht="66" customHeight="1" x14ac:dyDescent="0.25">
      <c r="A36" s="75">
        <v>33</v>
      </c>
      <c r="B36" s="75">
        <v>129</v>
      </c>
      <c r="C36" s="56" t="s">
        <v>46</v>
      </c>
      <c r="D36" s="56" t="s">
        <v>654</v>
      </c>
      <c r="E36" s="75" t="s">
        <v>490</v>
      </c>
      <c r="F36" s="76">
        <v>47500</v>
      </c>
      <c r="G36" s="56" t="s">
        <v>494</v>
      </c>
      <c r="H36" s="56" t="s">
        <v>390</v>
      </c>
      <c r="I36" s="56" t="s">
        <v>791</v>
      </c>
      <c r="J36" s="56" t="s">
        <v>792</v>
      </c>
      <c r="K36" s="56" t="s">
        <v>814</v>
      </c>
      <c r="L36" s="63" t="s">
        <v>423</v>
      </c>
      <c r="M36" s="56" t="s">
        <v>793</v>
      </c>
    </row>
    <row r="37" spans="1:13" ht="66" customHeight="1" x14ac:dyDescent="0.25">
      <c r="A37" s="59">
        <v>34</v>
      </c>
      <c r="B37" s="59">
        <v>130</v>
      </c>
      <c r="C37" s="55" t="s">
        <v>46</v>
      </c>
      <c r="D37" s="55" t="s">
        <v>655</v>
      </c>
      <c r="E37" s="59" t="s">
        <v>490</v>
      </c>
      <c r="F37" s="77">
        <v>46000</v>
      </c>
      <c r="G37" s="55" t="s">
        <v>494</v>
      </c>
      <c r="H37" s="55" t="s">
        <v>390</v>
      </c>
      <c r="I37" s="55" t="s">
        <v>791</v>
      </c>
      <c r="J37" s="55" t="s">
        <v>792</v>
      </c>
      <c r="K37" s="55" t="s">
        <v>697</v>
      </c>
      <c r="L37" s="78" t="s">
        <v>416</v>
      </c>
      <c r="M37" s="55" t="s">
        <v>793</v>
      </c>
    </row>
    <row r="38" spans="1:13" ht="66" customHeight="1" x14ac:dyDescent="0.25">
      <c r="A38" s="75">
        <v>35</v>
      </c>
      <c r="B38" s="75">
        <v>132</v>
      </c>
      <c r="C38" s="56" t="s">
        <v>470</v>
      </c>
      <c r="D38" s="56" t="s">
        <v>657</v>
      </c>
      <c r="E38" s="75" t="s">
        <v>490</v>
      </c>
      <c r="F38" s="76">
        <v>118000</v>
      </c>
      <c r="G38" s="56" t="s">
        <v>494</v>
      </c>
      <c r="H38" s="56" t="s">
        <v>404</v>
      </c>
      <c r="I38" s="56" t="s">
        <v>794</v>
      </c>
      <c r="J38" s="56" t="s">
        <v>795</v>
      </c>
      <c r="K38" s="56" t="s">
        <v>815</v>
      </c>
      <c r="L38" s="61" t="s">
        <v>420</v>
      </c>
      <c r="M38" s="56" t="s">
        <v>796</v>
      </c>
    </row>
    <row r="39" spans="1:13" ht="66" customHeight="1" x14ac:dyDescent="0.25">
      <c r="A39" s="59">
        <v>36</v>
      </c>
      <c r="B39" s="59">
        <v>140</v>
      </c>
      <c r="C39" s="55" t="s">
        <v>42</v>
      </c>
      <c r="D39" s="55" t="s">
        <v>665</v>
      </c>
      <c r="E39" s="59" t="s">
        <v>490</v>
      </c>
      <c r="F39" s="77">
        <v>55000</v>
      </c>
      <c r="G39" s="55" t="s">
        <v>494</v>
      </c>
      <c r="H39" s="55" t="s">
        <v>404</v>
      </c>
      <c r="I39" s="55" t="s">
        <v>794</v>
      </c>
      <c r="J39" s="55" t="s">
        <v>795</v>
      </c>
      <c r="K39" s="55" t="s">
        <v>699</v>
      </c>
      <c r="L39" s="63" t="s">
        <v>423</v>
      </c>
      <c r="M39" s="55" t="s">
        <v>796</v>
      </c>
    </row>
    <row r="40" spans="1:13" ht="66" customHeight="1" x14ac:dyDescent="0.25">
      <c r="A40" s="75">
        <v>37</v>
      </c>
      <c r="B40" s="75">
        <v>141</v>
      </c>
      <c r="C40" s="56" t="s">
        <v>48</v>
      </c>
      <c r="D40" s="56" t="s">
        <v>666</v>
      </c>
      <c r="E40" s="75" t="s">
        <v>548</v>
      </c>
      <c r="F40" s="76">
        <v>59000</v>
      </c>
      <c r="G40" s="56" t="s">
        <v>494</v>
      </c>
      <c r="H40" s="56" t="s">
        <v>404</v>
      </c>
      <c r="I40" s="56" t="s">
        <v>794</v>
      </c>
      <c r="J40" s="56" t="s">
        <v>795</v>
      </c>
      <c r="K40" s="56" t="s">
        <v>701</v>
      </c>
      <c r="L40" s="78" t="s">
        <v>416</v>
      </c>
      <c r="M40" s="56" t="s">
        <v>796</v>
      </c>
    </row>
    <row r="41" spans="1:13" ht="66" customHeight="1" x14ac:dyDescent="0.25">
      <c r="A41" s="59">
        <v>38</v>
      </c>
      <c r="B41" s="59">
        <v>146</v>
      </c>
      <c r="C41" s="55" t="s">
        <v>31</v>
      </c>
      <c r="D41" s="55" t="s">
        <v>671</v>
      </c>
      <c r="E41" s="59" t="s">
        <v>490</v>
      </c>
      <c r="F41" s="77">
        <v>61000</v>
      </c>
      <c r="G41" s="55" t="s">
        <v>494</v>
      </c>
      <c r="H41" s="55" t="s">
        <v>404</v>
      </c>
      <c r="I41" s="55" t="s">
        <v>794</v>
      </c>
      <c r="J41" s="55" t="s">
        <v>795</v>
      </c>
      <c r="K41" s="55" t="s">
        <v>816</v>
      </c>
      <c r="L41" s="61" t="s">
        <v>420</v>
      </c>
      <c r="M41" s="55" t="s">
        <v>796</v>
      </c>
    </row>
    <row r="42" spans="1:13" ht="66" customHeight="1" x14ac:dyDescent="0.25">
      <c r="A42" s="75">
        <v>39</v>
      </c>
      <c r="B42" s="75">
        <v>148</v>
      </c>
      <c r="C42" s="56" t="s">
        <v>44</v>
      </c>
      <c r="D42" s="56" t="s">
        <v>673</v>
      </c>
      <c r="E42" s="75" t="s">
        <v>490</v>
      </c>
      <c r="F42" s="76">
        <v>105000</v>
      </c>
      <c r="G42" s="56" t="s">
        <v>494</v>
      </c>
      <c r="H42" s="56" t="s">
        <v>404</v>
      </c>
      <c r="I42" s="56" t="s">
        <v>794</v>
      </c>
      <c r="J42" s="56" t="s">
        <v>795</v>
      </c>
      <c r="K42" s="56" t="s">
        <v>702</v>
      </c>
      <c r="L42" s="63" t="s">
        <v>423</v>
      </c>
      <c r="M42" s="56" t="s">
        <v>796</v>
      </c>
    </row>
    <row r="43" spans="1:13" ht="66" customHeight="1" x14ac:dyDescent="0.25">
      <c r="A43" s="59">
        <v>40</v>
      </c>
      <c r="B43" s="59">
        <v>161</v>
      </c>
      <c r="C43" s="55" t="s">
        <v>27</v>
      </c>
      <c r="D43" s="55" t="s">
        <v>658</v>
      </c>
      <c r="E43" s="59" t="s">
        <v>548</v>
      </c>
      <c r="F43" s="77">
        <v>98000</v>
      </c>
      <c r="G43" s="55" t="s">
        <v>494</v>
      </c>
      <c r="H43" s="55" t="s">
        <v>404</v>
      </c>
      <c r="I43" s="55" t="s">
        <v>794</v>
      </c>
      <c r="J43" s="55" t="s">
        <v>795</v>
      </c>
      <c r="K43" s="55" t="s">
        <v>817</v>
      </c>
      <c r="L43" s="78" t="s">
        <v>416</v>
      </c>
      <c r="M43" s="55" t="s">
        <v>796</v>
      </c>
    </row>
    <row r="44" spans="1:13" ht="66" customHeight="1" x14ac:dyDescent="0.25">
      <c r="A44" s="75">
        <v>41</v>
      </c>
      <c r="B44" s="75">
        <v>162</v>
      </c>
      <c r="C44" s="56" t="s">
        <v>41</v>
      </c>
      <c r="D44" s="56" t="s">
        <v>666</v>
      </c>
      <c r="E44" s="75" t="s">
        <v>490</v>
      </c>
      <c r="F44" s="76">
        <v>72000</v>
      </c>
      <c r="G44" s="56" t="s">
        <v>494</v>
      </c>
      <c r="H44" s="56" t="s">
        <v>384</v>
      </c>
      <c r="I44" s="56" t="s">
        <v>803</v>
      </c>
      <c r="J44" s="56" t="s">
        <v>804</v>
      </c>
      <c r="K44" s="56" t="s">
        <v>818</v>
      </c>
      <c r="L44" s="61" t="s">
        <v>420</v>
      </c>
      <c r="M44" s="56" t="s">
        <v>806</v>
      </c>
    </row>
    <row r="45" spans="1:13" ht="66" customHeight="1" x14ac:dyDescent="0.25">
      <c r="A45" s="59">
        <v>42</v>
      </c>
      <c r="B45" s="59">
        <v>174</v>
      </c>
      <c r="C45" s="55" t="s">
        <v>14</v>
      </c>
      <c r="D45" s="55" t="s">
        <v>686</v>
      </c>
      <c r="E45" s="59" t="s">
        <v>490</v>
      </c>
      <c r="F45" s="77">
        <v>48500</v>
      </c>
      <c r="G45" s="55" t="s">
        <v>494</v>
      </c>
      <c r="H45" s="55" t="s">
        <v>390</v>
      </c>
      <c r="I45" s="55" t="s">
        <v>791</v>
      </c>
      <c r="J45" s="55" t="s">
        <v>792</v>
      </c>
      <c r="K45" s="55" t="s">
        <v>767</v>
      </c>
      <c r="L45" s="63" t="s">
        <v>423</v>
      </c>
      <c r="M45" s="55" t="s">
        <v>793</v>
      </c>
    </row>
    <row r="46" spans="1:13" ht="66" customHeight="1" x14ac:dyDescent="0.25">
      <c r="A46" s="75">
        <v>43</v>
      </c>
      <c r="B46" s="75">
        <v>176</v>
      </c>
      <c r="C46" s="56" t="s">
        <v>16</v>
      </c>
      <c r="D46" s="56" t="s">
        <v>688</v>
      </c>
      <c r="E46" s="75" t="s">
        <v>490</v>
      </c>
      <c r="F46" s="76">
        <v>42000</v>
      </c>
      <c r="G46" s="56" t="s">
        <v>494</v>
      </c>
      <c r="H46" s="56" t="s">
        <v>395</v>
      </c>
      <c r="I46" s="56" t="s">
        <v>819</v>
      </c>
      <c r="J46" s="56" t="s">
        <v>820</v>
      </c>
      <c r="K46" s="56" t="s">
        <v>821</v>
      </c>
      <c r="L46" s="78" t="s">
        <v>416</v>
      </c>
      <c r="M46" s="56" t="s">
        <v>822</v>
      </c>
    </row>
    <row r="47" spans="1:13" ht="66" customHeight="1" x14ac:dyDescent="0.25">
      <c r="A47" s="59">
        <v>44</v>
      </c>
      <c r="B47" s="59">
        <v>177</v>
      </c>
      <c r="C47" s="55" t="s">
        <v>16</v>
      </c>
      <c r="D47" s="55" t="s">
        <v>689</v>
      </c>
      <c r="E47" s="59" t="s">
        <v>490</v>
      </c>
      <c r="F47" s="77">
        <v>38000</v>
      </c>
      <c r="G47" s="55" t="s">
        <v>494</v>
      </c>
      <c r="H47" s="55" t="s">
        <v>395</v>
      </c>
      <c r="I47" s="55" t="s">
        <v>819</v>
      </c>
      <c r="J47" s="55" t="s">
        <v>820</v>
      </c>
      <c r="K47" s="55" t="s">
        <v>703</v>
      </c>
      <c r="L47" s="61" t="s">
        <v>420</v>
      </c>
      <c r="M47" s="55" t="s">
        <v>822</v>
      </c>
    </row>
    <row r="48" spans="1:13" ht="66" customHeight="1" x14ac:dyDescent="0.25">
      <c r="A48" s="75">
        <v>45</v>
      </c>
      <c r="B48" s="75">
        <v>179</v>
      </c>
      <c r="C48" s="56" t="s">
        <v>18</v>
      </c>
      <c r="D48" s="56" t="s">
        <v>691</v>
      </c>
      <c r="E48" s="75" t="s">
        <v>490</v>
      </c>
      <c r="F48" s="76">
        <v>95000</v>
      </c>
      <c r="G48" s="56" t="s">
        <v>494</v>
      </c>
      <c r="H48" s="56" t="s">
        <v>404</v>
      </c>
      <c r="I48" s="56" t="s">
        <v>794</v>
      </c>
      <c r="J48" s="56" t="s">
        <v>795</v>
      </c>
      <c r="K48" s="56" t="s">
        <v>823</v>
      </c>
      <c r="L48" s="63" t="s">
        <v>423</v>
      </c>
      <c r="M48" s="56" t="s">
        <v>796</v>
      </c>
    </row>
    <row r="49" spans="1:13" ht="66" customHeight="1" x14ac:dyDescent="0.25">
      <c r="A49" s="59">
        <v>46</v>
      </c>
      <c r="B49" s="59">
        <v>182</v>
      </c>
      <c r="C49" s="55" t="s">
        <v>19</v>
      </c>
      <c r="D49" s="55" t="s">
        <v>695</v>
      </c>
      <c r="E49" s="59" t="s">
        <v>548</v>
      </c>
      <c r="F49" s="77">
        <v>75000</v>
      </c>
      <c r="G49" s="55" t="s">
        <v>494</v>
      </c>
      <c r="H49" s="55" t="s">
        <v>404</v>
      </c>
      <c r="I49" s="55" t="s">
        <v>794</v>
      </c>
      <c r="J49" s="55" t="s">
        <v>795</v>
      </c>
      <c r="K49" s="55" t="s">
        <v>705</v>
      </c>
      <c r="L49" s="78" t="s">
        <v>416</v>
      </c>
      <c r="M49" s="55" t="s">
        <v>796</v>
      </c>
    </row>
    <row r="50" spans="1:13" ht="66" customHeight="1" x14ac:dyDescent="0.25">
      <c r="A50" s="75">
        <v>47</v>
      </c>
      <c r="B50" s="75">
        <v>184</v>
      </c>
      <c r="C50" s="56" t="s">
        <v>21</v>
      </c>
      <c r="D50" s="56" t="s">
        <v>699</v>
      </c>
      <c r="E50" s="75" t="s">
        <v>490</v>
      </c>
      <c r="F50" s="76">
        <v>45000</v>
      </c>
      <c r="G50" s="56" t="s">
        <v>494</v>
      </c>
      <c r="H50" s="56" t="s">
        <v>390</v>
      </c>
      <c r="I50" s="56" t="s">
        <v>791</v>
      </c>
      <c r="J50" s="56" t="s">
        <v>792</v>
      </c>
      <c r="K50" s="56" t="s">
        <v>824</v>
      </c>
      <c r="L50" s="61" t="s">
        <v>420</v>
      </c>
      <c r="M50" s="56" t="s">
        <v>793</v>
      </c>
    </row>
    <row r="51" spans="1:13" ht="66" customHeight="1" x14ac:dyDescent="0.25">
      <c r="A51" s="59">
        <v>48</v>
      </c>
      <c r="B51" s="59">
        <v>185</v>
      </c>
      <c r="C51" s="55" t="s">
        <v>21</v>
      </c>
      <c r="D51" s="55" t="s">
        <v>701</v>
      </c>
      <c r="E51" s="59" t="s">
        <v>490</v>
      </c>
      <c r="F51" s="77">
        <v>44000</v>
      </c>
      <c r="G51" s="55" t="s">
        <v>494</v>
      </c>
      <c r="H51" s="55" t="s">
        <v>390</v>
      </c>
      <c r="I51" s="55" t="s">
        <v>791</v>
      </c>
      <c r="J51" s="55" t="s">
        <v>792</v>
      </c>
      <c r="K51" s="55" t="s">
        <v>825</v>
      </c>
      <c r="L51" s="63" t="s">
        <v>423</v>
      </c>
      <c r="M51" s="55" t="s">
        <v>793</v>
      </c>
    </row>
    <row r="52" spans="1:13" ht="66" customHeight="1" x14ac:dyDescent="0.25">
      <c r="A52" s="75">
        <v>49</v>
      </c>
      <c r="B52" s="75">
        <v>187</v>
      </c>
      <c r="C52" s="56" t="s">
        <v>16</v>
      </c>
      <c r="D52" s="56" t="s">
        <v>703</v>
      </c>
      <c r="E52" s="75" t="s">
        <v>548</v>
      </c>
      <c r="F52" s="76">
        <v>70000</v>
      </c>
      <c r="G52" s="56" t="s">
        <v>494</v>
      </c>
      <c r="H52" s="56" t="s">
        <v>404</v>
      </c>
      <c r="I52" s="56" t="s">
        <v>794</v>
      </c>
      <c r="J52" s="56" t="s">
        <v>795</v>
      </c>
      <c r="K52" s="56" t="s">
        <v>707</v>
      </c>
      <c r="L52" s="78" t="s">
        <v>416</v>
      </c>
      <c r="M52" s="56" t="s">
        <v>796</v>
      </c>
    </row>
    <row r="53" spans="1:13" ht="66" customHeight="1" x14ac:dyDescent="0.25">
      <c r="A53" s="59">
        <v>50</v>
      </c>
      <c r="B53" s="59">
        <v>188</v>
      </c>
      <c r="C53" s="55" t="s">
        <v>23</v>
      </c>
      <c r="D53" s="55" t="s">
        <v>705</v>
      </c>
      <c r="E53" s="59" t="s">
        <v>490</v>
      </c>
      <c r="F53" s="77">
        <v>52000</v>
      </c>
      <c r="G53" s="55" t="s">
        <v>494</v>
      </c>
      <c r="H53" s="55" t="s">
        <v>404</v>
      </c>
      <c r="I53" s="55" t="s">
        <v>794</v>
      </c>
      <c r="J53" s="55" t="s">
        <v>795</v>
      </c>
      <c r="K53" s="55" t="s">
        <v>826</v>
      </c>
      <c r="L53" s="61" t="s">
        <v>420</v>
      </c>
      <c r="M53" s="55" t="s">
        <v>796</v>
      </c>
    </row>
    <row r="54" spans="1:13" ht="66" customHeight="1" x14ac:dyDescent="0.25">
      <c r="A54" s="75">
        <v>51</v>
      </c>
      <c r="B54" s="75">
        <v>191</v>
      </c>
      <c r="C54" s="56" t="s">
        <v>27</v>
      </c>
      <c r="D54" s="56" t="s">
        <v>709</v>
      </c>
      <c r="E54" s="75" t="s">
        <v>490</v>
      </c>
      <c r="F54" s="76">
        <v>120000</v>
      </c>
      <c r="G54" s="56" t="s">
        <v>494</v>
      </c>
      <c r="H54" s="56" t="s">
        <v>404</v>
      </c>
      <c r="I54" s="56" t="s">
        <v>794</v>
      </c>
      <c r="J54" s="56" t="s">
        <v>795</v>
      </c>
      <c r="K54" s="56" t="s">
        <v>827</v>
      </c>
      <c r="L54" s="63" t="s">
        <v>423</v>
      </c>
      <c r="M54" s="56" t="s">
        <v>796</v>
      </c>
    </row>
    <row r="55" spans="1:13" ht="66" customHeight="1" x14ac:dyDescent="0.25">
      <c r="A55" s="59">
        <v>52</v>
      </c>
      <c r="B55" s="59">
        <v>196</v>
      </c>
      <c r="C55" s="55" t="s">
        <v>46</v>
      </c>
      <c r="D55" s="55" t="s">
        <v>714</v>
      </c>
      <c r="E55" s="59" t="s">
        <v>490</v>
      </c>
      <c r="F55" s="77">
        <v>47000</v>
      </c>
      <c r="G55" s="55" t="s">
        <v>494</v>
      </c>
      <c r="H55" s="55" t="s">
        <v>390</v>
      </c>
      <c r="I55" s="55" t="s">
        <v>791</v>
      </c>
      <c r="J55" s="55" t="s">
        <v>792</v>
      </c>
      <c r="K55" s="55" t="s">
        <v>828</v>
      </c>
      <c r="L55" s="78" t="s">
        <v>416</v>
      </c>
      <c r="M55" s="55" t="s">
        <v>793</v>
      </c>
    </row>
    <row r="56" spans="1:13" ht="66" customHeight="1" x14ac:dyDescent="0.25">
      <c r="A56" s="75">
        <v>53</v>
      </c>
      <c r="B56" s="75">
        <v>197</v>
      </c>
      <c r="C56" s="56" t="s">
        <v>46</v>
      </c>
      <c r="D56" s="56" t="s">
        <v>715</v>
      </c>
      <c r="E56" s="75" t="s">
        <v>490</v>
      </c>
      <c r="F56" s="76">
        <v>46500</v>
      </c>
      <c r="G56" s="56" t="s">
        <v>494</v>
      </c>
      <c r="H56" s="56" t="s">
        <v>390</v>
      </c>
      <c r="I56" s="56" t="s">
        <v>791</v>
      </c>
      <c r="J56" s="56" t="s">
        <v>792</v>
      </c>
      <c r="K56" s="56" t="s">
        <v>708</v>
      </c>
      <c r="L56" s="61" t="s">
        <v>420</v>
      </c>
      <c r="M56" s="56" t="s">
        <v>793</v>
      </c>
    </row>
    <row r="57" spans="1:13" ht="66" customHeight="1" x14ac:dyDescent="0.25">
      <c r="A57" s="59">
        <v>54</v>
      </c>
      <c r="B57" s="59">
        <v>199</v>
      </c>
      <c r="C57" s="55" t="s">
        <v>44</v>
      </c>
      <c r="D57" s="55" t="s">
        <v>717</v>
      </c>
      <c r="E57" s="59" t="s">
        <v>490</v>
      </c>
      <c r="F57" s="77">
        <v>85000</v>
      </c>
      <c r="G57" s="55" t="s">
        <v>494</v>
      </c>
      <c r="H57" s="55" t="s">
        <v>384</v>
      </c>
      <c r="I57" s="55" t="s">
        <v>803</v>
      </c>
      <c r="J57" s="55" t="s">
        <v>804</v>
      </c>
      <c r="K57" s="55" t="s">
        <v>829</v>
      </c>
      <c r="L57" s="63" t="s">
        <v>423</v>
      </c>
      <c r="M57" s="55" t="s">
        <v>806</v>
      </c>
    </row>
    <row r="58" spans="1:13" ht="66" customHeight="1" x14ac:dyDescent="0.25">
      <c r="A58" s="75">
        <v>55</v>
      </c>
      <c r="B58" s="75">
        <v>202</v>
      </c>
      <c r="C58" s="56" t="s">
        <v>470</v>
      </c>
      <c r="D58" s="56" t="s">
        <v>720</v>
      </c>
      <c r="E58" s="75" t="s">
        <v>490</v>
      </c>
      <c r="F58" s="76">
        <v>110000</v>
      </c>
      <c r="G58" s="56" t="s">
        <v>494</v>
      </c>
      <c r="H58" s="56" t="s">
        <v>404</v>
      </c>
      <c r="I58" s="56" t="s">
        <v>794</v>
      </c>
      <c r="J58" s="56" t="s">
        <v>795</v>
      </c>
      <c r="K58" s="56" t="s">
        <v>768</v>
      </c>
      <c r="L58" s="78" t="s">
        <v>416</v>
      </c>
      <c r="M58" s="56" t="s">
        <v>796</v>
      </c>
    </row>
    <row r="59" spans="1:13" ht="66" customHeight="1" x14ac:dyDescent="0.25">
      <c r="A59" s="59">
        <v>56</v>
      </c>
      <c r="B59" s="59">
        <v>205</v>
      </c>
      <c r="C59" s="55" t="s">
        <v>21</v>
      </c>
      <c r="D59" s="55" t="s">
        <v>724</v>
      </c>
      <c r="E59" s="59" t="s">
        <v>548</v>
      </c>
      <c r="F59" s="77">
        <v>40000</v>
      </c>
      <c r="G59" s="55" t="s">
        <v>494</v>
      </c>
      <c r="H59" s="55" t="s">
        <v>404</v>
      </c>
      <c r="I59" s="55" t="s">
        <v>794</v>
      </c>
      <c r="J59" s="55" t="s">
        <v>795</v>
      </c>
      <c r="K59" s="55" t="s">
        <v>830</v>
      </c>
      <c r="L59" s="61" t="s">
        <v>420</v>
      </c>
      <c r="M59" s="55" t="s">
        <v>796</v>
      </c>
    </row>
    <row r="60" spans="1:13" ht="66" customHeight="1" x14ac:dyDescent="0.25">
      <c r="A60" s="75">
        <v>57</v>
      </c>
      <c r="B60" s="75">
        <v>206</v>
      </c>
      <c r="C60" s="56" t="s">
        <v>31</v>
      </c>
      <c r="D60" s="56" t="s">
        <v>725</v>
      </c>
      <c r="E60" s="75" t="s">
        <v>490</v>
      </c>
      <c r="F60" s="76">
        <v>55000</v>
      </c>
      <c r="G60" s="56" t="s">
        <v>494</v>
      </c>
      <c r="H60" s="56" t="s">
        <v>404</v>
      </c>
      <c r="I60" s="56" t="s">
        <v>794</v>
      </c>
      <c r="J60" s="56" t="s">
        <v>795</v>
      </c>
      <c r="K60" s="56" t="s">
        <v>709</v>
      </c>
      <c r="L60" s="63" t="s">
        <v>423</v>
      </c>
      <c r="M60" s="56" t="s">
        <v>796</v>
      </c>
    </row>
    <row r="61" spans="1:13" ht="66" customHeight="1" x14ac:dyDescent="0.25">
      <c r="A61" s="59">
        <v>58</v>
      </c>
      <c r="B61" s="59">
        <v>208</v>
      </c>
      <c r="C61" s="55" t="s">
        <v>58</v>
      </c>
      <c r="D61" s="55" t="s">
        <v>727</v>
      </c>
      <c r="E61" s="59" t="s">
        <v>490</v>
      </c>
      <c r="F61" s="77">
        <v>92000</v>
      </c>
      <c r="G61" s="55" t="s">
        <v>494</v>
      </c>
      <c r="H61" s="55" t="s">
        <v>404</v>
      </c>
      <c r="I61" s="55" t="s">
        <v>794</v>
      </c>
      <c r="J61" s="55" t="s">
        <v>795</v>
      </c>
      <c r="K61" s="55" t="s">
        <v>769</v>
      </c>
      <c r="L61" s="78" t="s">
        <v>416</v>
      </c>
      <c r="M61" s="55" t="s">
        <v>796</v>
      </c>
    </row>
    <row r="62" spans="1:13" ht="66" customHeight="1" x14ac:dyDescent="0.25">
      <c r="A62" s="75">
        <v>59</v>
      </c>
      <c r="B62" s="75">
        <v>211</v>
      </c>
      <c r="C62" s="56" t="s">
        <v>16</v>
      </c>
      <c r="D62" s="56" t="s">
        <v>730</v>
      </c>
      <c r="E62" s="75" t="s">
        <v>490</v>
      </c>
      <c r="F62" s="76">
        <v>43000</v>
      </c>
      <c r="G62" s="56" t="s">
        <v>494</v>
      </c>
      <c r="H62" s="56" t="s">
        <v>395</v>
      </c>
      <c r="I62" s="56" t="s">
        <v>819</v>
      </c>
      <c r="J62" s="56" t="s">
        <v>820</v>
      </c>
      <c r="K62" s="56" t="s">
        <v>831</v>
      </c>
      <c r="L62" s="61" t="s">
        <v>420</v>
      </c>
      <c r="M62" s="56" t="s">
        <v>822</v>
      </c>
    </row>
    <row r="63" spans="1:13" ht="66" customHeight="1" x14ac:dyDescent="0.25">
      <c r="A63" s="59">
        <v>60</v>
      </c>
      <c r="B63" s="59">
        <v>212</v>
      </c>
      <c r="C63" s="55" t="s">
        <v>16</v>
      </c>
      <c r="D63" s="55" t="s">
        <v>731</v>
      </c>
      <c r="E63" s="59" t="s">
        <v>490</v>
      </c>
      <c r="F63" s="77">
        <v>41000</v>
      </c>
      <c r="G63" s="55" t="s">
        <v>494</v>
      </c>
      <c r="H63" s="55" t="s">
        <v>395</v>
      </c>
      <c r="I63" s="55" t="s">
        <v>819</v>
      </c>
      <c r="J63" s="55" t="s">
        <v>820</v>
      </c>
      <c r="K63" s="55" t="s">
        <v>710</v>
      </c>
      <c r="L63" s="63" t="s">
        <v>423</v>
      </c>
      <c r="M63" s="55" t="s">
        <v>822</v>
      </c>
    </row>
    <row r="64" spans="1:13" ht="66" customHeight="1" x14ac:dyDescent="0.25">
      <c r="A64" s="75">
        <v>61</v>
      </c>
      <c r="B64" s="75">
        <v>214</v>
      </c>
      <c r="C64" s="56" t="s">
        <v>44</v>
      </c>
      <c r="D64" s="56" t="s">
        <v>733</v>
      </c>
      <c r="E64" s="75" t="s">
        <v>548</v>
      </c>
      <c r="F64" s="76">
        <v>80000</v>
      </c>
      <c r="G64" s="56" t="s">
        <v>494</v>
      </c>
      <c r="H64" s="56" t="s">
        <v>399</v>
      </c>
      <c r="I64" s="56" t="s">
        <v>832</v>
      </c>
      <c r="J64" s="56" t="s">
        <v>833</v>
      </c>
      <c r="K64" s="56" t="s">
        <v>834</v>
      </c>
      <c r="L64" s="78" t="s">
        <v>416</v>
      </c>
      <c r="M64" s="56" t="s">
        <v>835</v>
      </c>
    </row>
    <row r="65" spans="1:13" ht="66" customHeight="1" x14ac:dyDescent="0.25">
      <c r="A65" s="59">
        <v>62</v>
      </c>
      <c r="B65" s="59">
        <v>218</v>
      </c>
      <c r="C65" s="55" t="s">
        <v>470</v>
      </c>
      <c r="D65" s="55" t="s">
        <v>738</v>
      </c>
      <c r="E65" s="59" t="s">
        <v>490</v>
      </c>
      <c r="F65" s="77">
        <v>105000</v>
      </c>
      <c r="G65" s="55" t="s">
        <v>494</v>
      </c>
      <c r="H65" s="55" t="s">
        <v>404</v>
      </c>
      <c r="I65" s="55" t="s">
        <v>794</v>
      </c>
      <c r="J65" s="55" t="s">
        <v>795</v>
      </c>
      <c r="K65" s="55" t="s">
        <v>711</v>
      </c>
      <c r="L65" s="61" t="s">
        <v>420</v>
      </c>
      <c r="M65" s="55" t="s">
        <v>796</v>
      </c>
    </row>
    <row r="66" spans="1:13" ht="66" customHeight="1" x14ac:dyDescent="0.25">
      <c r="A66" s="75">
        <v>63</v>
      </c>
      <c r="B66" s="75">
        <v>221</v>
      </c>
      <c r="C66" s="56" t="s">
        <v>41</v>
      </c>
      <c r="D66" s="56" t="s">
        <v>742</v>
      </c>
      <c r="E66" s="75" t="s">
        <v>490</v>
      </c>
      <c r="F66" s="76">
        <v>68000</v>
      </c>
      <c r="G66" s="56" t="s">
        <v>494</v>
      </c>
      <c r="H66" s="56" t="s">
        <v>384</v>
      </c>
      <c r="I66" s="56" t="s">
        <v>803</v>
      </c>
      <c r="J66" s="56" t="s">
        <v>804</v>
      </c>
      <c r="K66" s="56" t="s">
        <v>712</v>
      </c>
      <c r="L66" s="63" t="s">
        <v>423</v>
      </c>
      <c r="M66" s="56" t="s">
        <v>806</v>
      </c>
    </row>
    <row r="67" spans="1:13" ht="66" customHeight="1" x14ac:dyDescent="0.25">
      <c r="A67" s="59">
        <v>64</v>
      </c>
      <c r="B67" s="59">
        <v>223</v>
      </c>
      <c r="C67" s="55" t="s">
        <v>19</v>
      </c>
      <c r="D67" s="55" t="s">
        <v>744</v>
      </c>
      <c r="E67" s="59" t="s">
        <v>548</v>
      </c>
      <c r="F67" s="77">
        <v>60000</v>
      </c>
      <c r="G67" s="55" t="s">
        <v>494</v>
      </c>
      <c r="H67" s="55" t="s">
        <v>399</v>
      </c>
      <c r="I67" s="55" t="s">
        <v>832</v>
      </c>
      <c r="J67" s="55" t="s">
        <v>833</v>
      </c>
      <c r="K67" s="55" t="s">
        <v>770</v>
      </c>
      <c r="L67" s="78" t="s">
        <v>416</v>
      </c>
      <c r="M67" s="55" t="s">
        <v>835</v>
      </c>
    </row>
    <row r="68" spans="1:13" ht="66" customHeight="1" x14ac:dyDescent="0.25">
      <c r="A68" s="75">
        <v>65</v>
      </c>
      <c r="B68" s="75">
        <v>227</v>
      </c>
      <c r="C68" s="56" t="s">
        <v>31</v>
      </c>
      <c r="D68" s="56" t="s">
        <v>749</v>
      </c>
      <c r="E68" s="75" t="s">
        <v>490</v>
      </c>
      <c r="F68" s="76">
        <v>58000</v>
      </c>
      <c r="G68" s="56" t="s">
        <v>494</v>
      </c>
      <c r="H68" s="56" t="s">
        <v>404</v>
      </c>
      <c r="I68" s="56" t="s">
        <v>794</v>
      </c>
      <c r="J68" s="56" t="s">
        <v>795</v>
      </c>
      <c r="K68" s="56" t="s">
        <v>836</v>
      </c>
      <c r="L68" s="61" t="s">
        <v>420</v>
      </c>
      <c r="M68" s="56" t="s">
        <v>796</v>
      </c>
    </row>
    <row r="69" spans="1:13" ht="66" customHeight="1" x14ac:dyDescent="0.25">
      <c r="A69" s="59">
        <v>66</v>
      </c>
      <c r="B69" s="59">
        <v>229</v>
      </c>
      <c r="C69" s="55" t="s">
        <v>44</v>
      </c>
      <c r="D69" s="55" t="s">
        <v>751</v>
      </c>
      <c r="E69" s="59" t="s">
        <v>490</v>
      </c>
      <c r="F69" s="77">
        <v>88000</v>
      </c>
      <c r="G69" s="55" t="s">
        <v>494</v>
      </c>
      <c r="H69" s="55" t="s">
        <v>384</v>
      </c>
      <c r="I69" s="55" t="s">
        <v>803</v>
      </c>
      <c r="J69" s="55" t="s">
        <v>804</v>
      </c>
      <c r="K69" s="55" t="s">
        <v>837</v>
      </c>
      <c r="L69" s="63" t="s">
        <v>423</v>
      </c>
      <c r="M69" s="55" t="s">
        <v>806</v>
      </c>
    </row>
    <row r="70" spans="1:13" ht="66" customHeight="1" x14ac:dyDescent="0.25">
      <c r="A70" s="75">
        <v>67</v>
      </c>
      <c r="B70" s="75">
        <v>234</v>
      </c>
      <c r="C70" s="56" t="s">
        <v>29</v>
      </c>
      <c r="D70" s="56" t="s">
        <v>758</v>
      </c>
      <c r="E70" s="75" t="s">
        <v>490</v>
      </c>
      <c r="F70" s="76">
        <v>55000</v>
      </c>
      <c r="G70" s="56" t="s">
        <v>494</v>
      </c>
      <c r="H70" s="56" t="s">
        <v>384</v>
      </c>
      <c r="I70" s="56" t="s">
        <v>803</v>
      </c>
      <c r="J70" s="56" t="s">
        <v>804</v>
      </c>
      <c r="K70" s="56" t="s">
        <v>713</v>
      </c>
      <c r="L70" s="78" t="s">
        <v>416</v>
      </c>
      <c r="M70" s="56" t="s">
        <v>806</v>
      </c>
    </row>
    <row r="71" spans="1:13" ht="66" customHeight="1" x14ac:dyDescent="0.25">
      <c r="A71" s="59">
        <v>68</v>
      </c>
      <c r="B71" s="59">
        <v>237</v>
      </c>
      <c r="C71" s="55" t="s">
        <v>36</v>
      </c>
      <c r="D71" s="55" t="s">
        <v>687</v>
      </c>
      <c r="E71" s="59" t="s">
        <v>490</v>
      </c>
      <c r="F71" s="77">
        <v>47000</v>
      </c>
      <c r="G71" s="55" t="s">
        <v>494</v>
      </c>
      <c r="H71" s="55" t="s">
        <v>390</v>
      </c>
      <c r="I71" s="55" t="s">
        <v>791</v>
      </c>
      <c r="J71" s="55" t="s">
        <v>792</v>
      </c>
      <c r="K71" s="55" t="s">
        <v>838</v>
      </c>
      <c r="L71" s="61" t="s">
        <v>420</v>
      </c>
      <c r="M71" s="55" t="s">
        <v>793</v>
      </c>
    </row>
    <row r="72" spans="1:13" ht="66" customHeight="1" x14ac:dyDescent="0.25">
      <c r="A72" s="75">
        <v>69</v>
      </c>
      <c r="B72" s="75">
        <v>238</v>
      </c>
      <c r="C72" s="56" t="s">
        <v>36</v>
      </c>
      <c r="D72" s="56" t="s">
        <v>761</v>
      </c>
      <c r="E72" s="75" t="s">
        <v>490</v>
      </c>
      <c r="F72" s="76">
        <v>46500</v>
      </c>
      <c r="G72" s="56" t="s">
        <v>494</v>
      </c>
      <c r="H72" s="56" t="s">
        <v>390</v>
      </c>
      <c r="I72" s="56" t="s">
        <v>791</v>
      </c>
      <c r="J72" s="56" t="s">
        <v>792</v>
      </c>
      <c r="K72" s="56" t="s">
        <v>839</v>
      </c>
      <c r="L72" s="63" t="s">
        <v>423</v>
      </c>
      <c r="M72" s="56" t="s">
        <v>793</v>
      </c>
    </row>
    <row r="73" spans="1:13" ht="66" customHeight="1" x14ac:dyDescent="0.25">
      <c r="A73" s="59">
        <v>70</v>
      </c>
      <c r="B73" s="59">
        <v>242</v>
      </c>
      <c r="C73" s="55" t="s">
        <v>42</v>
      </c>
      <c r="D73" s="55" t="s">
        <v>765</v>
      </c>
      <c r="E73" s="59" t="s">
        <v>490</v>
      </c>
      <c r="F73" s="77">
        <v>52000</v>
      </c>
      <c r="G73" s="55" t="s">
        <v>494</v>
      </c>
      <c r="H73" s="55" t="s">
        <v>404</v>
      </c>
      <c r="I73" s="55" t="s">
        <v>794</v>
      </c>
      <c r="J73" s="55" t="s">
        <v>795</v>
      </c>
      <c r="K73" s="55" t="s">
        <v>714</v>
      </c>
      <c r="L73" s="78" t="s">
        <v>416</v>
      </c>
      <c r="M73" s="55" t="s">
        <v>796</v>
      </c>
    </row>
    <row r="74" spans="1:13" ht="66" customHeight="1" x14ac:dyDescent="0.25">
      <c r="A74" s="75">
        <v>71</v>
      </c>
      <c r="B74" s="75">
        <v>246</v>
      </c>
      <c r="C74" s="56" t="s">
        <v>48</v>
      </c>
      <c r="D74" s="56" t="s">
        <v>702</v>
      </c>
      <c r="E74" s="75" t="s">
        <v>490</v>
      </c>
      <c r="F74" s="76">
        <v>68000</v>
      </c>
      <c r="G74" s="56" t="s">
        <v>494</v>
      </c>
      <c r="H74" s="56" t="s">
        <v>404</v>
      </c>
      <c r="I74" s="56" t="s">
        <v>794</v>
      </c>
      <c r="J74" s="56" t="s">
        <v>795</v>
      </c>
      <c r="K74" s="56" t="s">
        <v>715</v>
      </c>
      <c r="L74" s="61" t="s">
        <v>420</v>
      </c>
      <c r="M74" s="56" t="s">
        <v>796</v>
      </c>
    </row>
    <row r="75" spans="1:13" ht="66" customHeight="1" x14ac:dyDescent="0.25">
      <c r="A75" s="59">
        <v>72</v>
      </c>
      <c r="B75" s="59">
        <v>253</v>
      </c>
      <c r="C75" s="55" t="s">
        <v>60</v>
      </c>
      <c r="D75" s="55" t="s">
        <v>709</v>
      </c>
      <c r="E75" s="59" t="s">
        <v>490</v>
      </c>
      <c r="F75" s="77">
        <v>45000</v>
      </c>
      <c r="G75" s="55" t="s">
        <v>494</v>
      </c>
      <c r="H75" s="55" t="s">
        <v>390</v>
      </c>
      <c r="I75" s="55" t="s">
        <v>791</v>
      </c>
      <c r="J75" s="55" t="s">
        <v>792</v>
      </c>
      <c r="K75" s="55" t="s">
        <v>772</v>
      </c>
      <c r="L75" s="63" t="s">
        <v>423</v>
      </c>
      <c r="M75" s="55" t="s">
        <v>793</v>
      </c>
    </row>
    <row r="76" spans="1:13" ht="66" customHeight="1" x14ac:dyDescent="0.25">
      <c r="A76" s="75">
        <v>73</v>
      </c>
      <c r="B76" s="75">
        <v>254</v>
      </c>
      <c r="C76" s="56" t="s">
        <v>60</v>
      </c>
      <c r="D76" s="56" t="s">
        <v>769</v>
      </c>
      <c r="E76" s="75" t="s">
        <v>490</v>
      </c>
      <c r="F76" s="76">
        <v>44500</v>
      </c>
      <c r="G76" s="56" t="s">
        <v>494</v>
      </c>
      <c r="H76" s="56" t="s">
        <v>390</v>
      </c>
      <c r="I76" s="56" t="s">
        <v>791</v>
      </c>
      <c r="J76" s="56" t="s">
        <v>792</v>
      </c>
      <c r="K76" s="56" t="s">
        <v>840</v>
      </c>
      <c r="L76" s="78" t="s">
        <v>416</v>
      </c>
      <c r="M76" s="56" t="s">
        <v>793</v>
      </c>
    </row>
    <row r="77" spans="1:13" ht="66" customHeight="1" x14ac:dyDescent="0.25">
      <c r="A77" s="59">
        <v>74</v>
      </c>
      <c r="B77" s="59">
        <v>257</v>
      </c>
      <c r="C77" s="55" t="s">
        <v>63</v>
      </c>
      <c r="D77" s="55" t="s">
        <v>770</v>
      </c>
      <c r="E77" s="59" t="s">
        <v>490</v>
      </c>
      <c r="F77" s="77">
        <v>92000</v>
      </c>
      <c r="G77" s="55" t="s">
        <v>494</v>
      </c>
      <c r="H77" s="55" t="s">
        <v>404</v>
      </c>
      <c r="I77" s="55" t="s">
        <v>794</v>
      </c>
      <c r="J77" s="55" t="s">
        <v>795</v>
      </c>
      <c r="K77" s="55" t="s">
        <v>716</v>
      </c>
      <c r="L77" s="61" t="s">
        <v>420</v>
      </c>
      <c r="M77" s="55" t="s">
        <v>796</v>
      </c>
    </row>
    <row r="78" spans="1:13" ht="66" customHeight="1" x14ac:dyDescent="0.25">
      <c r="A78" s="75">
        <v>75</v>
      </c>
      <c r="B78" s="75">
        <v>258</v>
      </c>
      <c r="C78" s="56" t="s">
        <v>64</v>
      </c>
      <c r="D78" s="56" t="s">
        <v>713</v>
      </c>
      <c r="E78" s="75" t="s">
        <v>548</v>
      </c>
      <c r="F78" s="76">
        <v>48000</v>
      </c>
      <c r="G78" s="56" t="s">
        <v>494</v>
      </c>
      <c r="H78" s="56" t="s">
        <v>404</v>
      </c>
      <c r="I78" s="56" t="s">
        <v>794</v>
      </c>
      <c r="J78" s="56" t="s">
        <v>795</v>
      </c>
      <c r="K78" s="56" t="s">
        <v>841</v>
      </c>
      <c r="L78" s="63" t="s">
        <v>423</v>
      </c>
      <c r="M78" s="56" t="s">
        <v>796</v>
      </c>
    </row>
    <row r="79" spans="1:13" ht="66" customHeight="1" x14ac:dyDescent="0.25">
      <c r="A79" s="59">
        <v>76</v>
      </c>
      <c r="B79" s="59">
        <v>262</v>
      </c>
      <c r="C79" s="55" t="s">
        <v>472</v>
      </c>
      <c r="D79" s="55" t="s">
        <v>717</v>
      </c>
      <c r="E79" s="59" t="s">
        <v>490</v>
      </c>
      <c r="F79" s="77">
        <v>85000</v>
      </c>
      <c r="G79" s="55" t="s">
        <v>494</v>
      </c>
      <c r="H79" s="55" t="s">
        <v>404</v>
      </c>
      <c r="I79" s="55" t="s">
        <v>794</v>
      </c>
      <c r="J79" s="55" t="s">
        <v>795</v>
      </c>
      <c r="K79" s="55" t="s">
        <v>842</v>
      </c>
      <c r="L79" s="78" t="s">
        <v>416</v>
      </c>
      <c r="M79" s="55" t="s">
        <v>796</v>
      </c>
    </row>
    <row r="80" spans="1:13" ht="66" customHeight="1" x14ac:dyDescent="0.25">
      <c r="A80" s="75">
        <v>77</v>
      </c>
      <c r="B80" s="75">
        <v>264</v>
      </c>
      <c r="C80" s="56" t="s">
        <v>27</v>
      </c>
      <c r="D80" s="56" t="s">
        <v>719</v>
      </c>
      <c r="E80" s="75" t="s">
        <v>490</v>
      </c>
      <c r="F80" s="76">
        <v>115000</v>
      </c>
      <c r="G80" s="56" t="s">
        <v>494</v>
      </c>
      <c r="H80" s="56" t="s">
        <v>404</v>
      </c>
      <c r="I80" s="56" t="s">
        <v>794</v>
      </c>
      <c r="J80" s="56" t="s">
        <v>795</v>
      </c>
      <c r="K80" s="56" t="s">
        <v>717</v>
      </c>
      <c r="L80" s="61" t="s">
        <v>420</v>
      </c>
      <c r="M80" s="56" t="s">
        <v>796</v>
      </c>
    </row>
    <row r="81" spans="1:13" ht="66" customHeight="1" x14ac:dyDescent="0.25">
      <c r="A81" s="59">
        <v>78</v>
      </c>
      <c r="B81" s="59">
        <v>267</v>
      </c>
      <c r="C81" s="55" t="s">
        <v>37</v>
      </c>
      <c r="D81" s="55" t="s">
        <v>723</v>
      </c>
      <c r="E81" s="59" t="s">
        <v>490</v>
      </c>
      <c r="F81" s="77">
        <v>48000</v>
      </c>
      <c r="G81" s="55" t="s">
        <v>494</v>
      </c>
      <c r="H81" s="55" t="s">
        <v>390</v>
      </c>
      <c r="I81" s="55" t="s">
        <v>791</v>
      </c>
      <c r="J81" s="55" t="s">
        <v>792</v>
      </c>
      <c r="K81" s="55" t="s">
        <v>843</v>
      </c>
      <c r="L81" s="63" t="s">
        <v>423</v>
      </c>
      <c r="M81" s="55" t="s">
        <v>793</v>
      </c>
    </row>
    <row r="82" spans="1:13" ht="66" customHeight="1" x14ac:dyDescent="0.25">
      <c r="A82" s="75">
        <v>79</v>
      </c>
      <c r="B82" s="75">
        <v>270</v>
      </c>
      <c r="C82" s="56" t="s">
        <v>52</v>
      </c>
      <c r="D82" s="56" t="s">
        <v>726</v>
      </c>
      <c r="E82" s="75" t="s">
        <v>548</v>
      </c>
      <c r="F82" s="76">
        <v>45000</v>
      </c>
      <c r="G82" s="56" t="s">
        <v>494</v>
      </c>
      <c r="H82" s="56" t="s">
        <v>404</v>
      </c>
      <c r="I82" s="56" t="s">
        <v>794</v>
      </c>
      <c r="J82" s="56" t="s">
        <v>795</v>
      </c>
      <c r="K82" s="56" t="s">
        <v>844</v>
      </c>
      <c r="L82" s="78" t="s">
        <v>416</v>
      </c>
      <c r="M82" s="56" t="s">
        <v>796</v>
      </c>
    </row>
    <row r="83" spans="1:13" ht="66" customHeight="1" x14ac:dyDescent="0.25">
      <c r="A83" s="59">
        <v>80</v>
      </c>
      <c r="B83" s="59">
        <v>275</v>
      </c>
      <c r="C83" s="55" t="s">
        <v>31</v>
      </c>
      <c r="D83" s="55" t="s">
        <v>776</v>
      </c>
      <c r="E83" s="59" t="s">
        <v>490</v>
      </c>
      <c r="F83" s="77">
        <v>58000</v>
      </c>
      <c r="G83" s="55" t="s">
        <v>494</v>
      </c>
      <c r="H83" s="55" t="s">
        <v>404</v>
      </c>
      <c r="I83" s="55" t="s">
        <v>794</v>
      </c>
      <c r="J83" s="55" t="s">
        <v>795</v>
      </c>
      <c r="K83" s="55" t="s">
        <v>845</v>
      </c>
      <c r="L83" s="61" t="s">
        <v>420</v>
      </c>
      <c r="M83" s="55" t="s">
        <v>796</v>
      </c>
    </row>
    <row r="84" spans="1:13" ht="66" customHeight="1" x14ac:dyDescent="0.25">
      <c r="A84" s="75">
        <v>81</v>
      </c>
      <c r="B84" s="75">
        <v>277</v>
      </c>
      <c r="C84" s="56" t="s">
        <v>42</v>
      </c>
      <c r="D84" s="56" t="s">
        <v>732</v>
      </c>
      <c r="E84" s="75" t="s">
        <v>490</v>
      </c>
      <c r="F84" s="76">
        <v>50000</v>
      </c>
      <c r="G84" s="56" t="s">
        <v>494</v>
      </c>
      <c r="H84" s="56" t="s">
        <v>404</v>
      </c>
      <c r="I84" s="56" t="s">
        <v>794</v>
      </c>
      <c r="J84" s="56" t="s">
        <v>795</v>
      </c>
      <c r="K84" s="56" t="s">
        <v>846</v>
      </c>
      <c r="L84" s="63" t="s">
        <v>423</v>
      </c>
      <c r="M84" s="56" t="s">
        <v>796</v>
      </c>
    </row>
    <row r="85" spans="1:13" ht="66" customHeight="1" x14ac:dyDescent="0.25">
      <c r="A85" s="59">
        <v>82</v>
      </c>
      <c r="B85" s="59">
        <v>278</v>
      </c>
      <c r="C85" s="55" t="s">
        <v>48</v>
      </c>
      <c r="D85" s="55" t="s">
        <v>733</v>
      </c>
      <c r="E85" s="59" t="s">
        <v>548</v>
      </c>
      <c r="F85" s="77">
        <v>60000</v>
      </c>
      <c r="G85" s="55" t="s">
        <v>494</v>
      </c>
      <c r="H85" s="55" t="s">
        <v>404</v>
      </c>
      <c r="I85" s="55" t="s">
        <v>794</v>
      </c>
      <c r="J85" s="55" t="s">
        <v>795</v>
      </c>
      <c r="K85" s="55" t="s">
        <v>847</v>
      </c>
      <c r="L85" s="78" t="s">
        <v>416</v>
      </c>
      <c r="M85" s="55" t="s">
        <v>796</v>
      </c>
    </row>
    <row r="86" spans="1:13" ht="66" customHeight="1" x14ac:dyDescent="0.25">
      <c r="A86" s="75">
        <v>83</v>
      </c>
      <c r="B86" s="75">
        <v>281</v>
      </c>
      <c r="C86" s="56" t="s">
        <v>63</v>
      </c>
      <c r="D86" s="56" t="s">
        <v>737</v>
      </c>
      <c r="E86" s="75" t="s">
        <v>490</v>
      </c>
      <c r="F86" s="76">
        <v>98000</v>
      </c>
      <c r="G86" s="56" t="s">
        <v>494</v>
      </c>
      <c r="H86" s="56" t="s">
        <v>404</v>
      </c>
      <c r="I86" s="56" t="s">
        <v>794</v>
      </c>
      <c r="J86" s="56" t="s">
        <v>795</v>
      </c>
      <c r="K86" s="56" t="s">
        <v>848</v>
      </c>
      <c r="L86" s="61" t="s">
        <v>420</v>
      </c>
      <c r="M86" s="56" t="s">
        <v>796</v>
      </c>
    </row>
    <row r="87" spans="1:13" ht="66" customHeight="1" x14ac:dyDescent="0.25">
      <c r="A87" s="59">
        <v>84</v>
      </c>
      <c r="B87" s="59">
        <v>298</v>
      </c>
      <c r="C87" s="55" t="s">
        <v>27</v>
      </c>
      <c r="D87" s="55" t="s">
        <v>752</v>
      </c>
      <c r="E87" s="59" t="s">
        <v>548</v>
      </c>
      <c r="F87" s="77">
        <v>90000</v>
      </c>
      <c r="G87" s="55" t="s">
        <v>494</v>
      </c>
      <c r="H87" s="55" t="s">
        <v>404</v>
      </c>
      <c r="I87" s="55" t="s">
        <v>794</v>
      </c>
      <c r="J87" s="55" t="s">
        <v>795</v>
      </c>
      <c r="K87" s="55" t="s">
        <v>849</v>
      </c>
      <c r="L87" s="63" t="s">
        <v>423</v>
      </c>
      <c r="M87" s="55" t="s">
        <v>796</v>
      </c>
    </row>
    <row r="88" spans="1:13" ht="66" customHeight="1" x14ac:dyDescent="0.25">
      <c r="A88" s="75">
        <v>85</v>
      </c>
      <c r="B88" s="75">
        <v>299</v>
      </c>
      <c r="C88" s="56" t="s">
        <v>42</v>
      </c>
      <c r="D88" s="56" t="s">
        <v>781</v>
      </c>
      <c r="E88" s="75" t="s">
        <v>490</v>
      </c>
      <c r="F88" s="76">
        <v>53000</v>
      </c>
      <c r="G88" s="56" t="s">
        <v>494</v>
      </c>
      <c r="H88" s="56" t="s">
        <v>404</v>
      </c>
      <c r="I88" s="56" t="s">
        <v>794</v>
      </c>
      <c r="J88" s="56" t="s">
        <v>795</v>
      </c>
      <c r="K88" s="56" t="s">
        <v>718</v>
      </c>
      <c r="L88" s="78" t="s">
        <v>416</v>
      </c>
      <c r="M88" s="56" t="s">
        <v>796</v>
      </c>
    </row>
  </sheetData>
  <mergeCells count="2">
    <mergeCell ref="A1:M1"/>
    <mergeCell ref="A2:M2"/>
  </mergeCells>
  <conditionalFormatting sqref="H4:H88">
    <cfRule type="expression" dxfId="63" priority="1">
      <formula>$H4="Normal"</formula>
    </cfRule>
    <cfRule type="expression" dxfId="62" priority="2">
      <formula>$H4="Monto alto en efectivo"</formula>
    </cfRule>
    <cfRule type="expression" dxfId="61" priority="3">
      <formula>$H4="Retiro inmediato"</formula>
    </cfRule>
    <cfRule type="expression" dxfId="60" priority="4">
      <formula>$H4="Posible fraccionamiento"</formula>
    </cfRule>
    <cfRule type="expression" dxfId="59" priority="5">
      <formula>$H4="Monto alto + Inconsistencia"</formula>
    </cfRule>
    <cfRule type="expression" dxfId="58" priority="6">
      <formula>$H4="Inconsistencia de perfil"</formula>
    </cfRule>
  </conditionalFormatting>
  <conditionalFormatting sqref="L4:L88">
    <cfRule type="expression" dxfId="57" priority="7">
      <formula>$L4="Reportado a IVE"</formula>
    </cfRule>
    <cfRule type="expression" dxfId="56" priority="8">
      <formula>$L4="En investigación"</formula>
    </cfRule>
    <cfRule type="expression" dxfId="55" priority="9">
      <formula>$L4="Pendiente análisis"</formula>
    </cfRule>
    <cfRule type="expression" dxfId="54" priority="10">
      <formula>$L4="No procede"</formula>
    </cfRule>
  </conditionalFormatting>
  <pageMargins left="0.75" right="0.75" top="1" bottom="1" header="0.5" footer="0.5"/>
  <extLst>
    <ext xmlns:x14="http://schemas.microsoft.com/office/spreadsheetml/2009/9/main" uri="{CCE6A557-97BC-4b89-ADB6-D9C93CAAB3DF}">
      <x14:dataValidations xmlns:xm="http://schemas.microsoft.com/office/excel/2006/main" count="2">
        <x14:dataValidation type="list" allowBlank="1" showInputMessage="1" showErrorMessage="1" xr:uid="{36B8ADFE-2C95-41BA-A789-83D47EC6C167}">
          <x14:formula1>
            <xm:f>'Caso 2 (Parámetros)'!$B$14:$B$19</xm:f>
          </x14:formula1>
          <xm:sqref>H4:H88</xm:sqref>
        </x14:dataValidation>
        <x14:dataValidation type="list" allowBlank="1" showInputMessage="1" showErrorMessage="1" xr:uid="{2B619165-D949-427D-9DEA-9D490BA5ADAF}">
          <x14:formula1>
            <xm:f>'Caso 2 (Parámetros)'!$B$25:$B$28</xm:f>
          </x14:formula1>
          <xm:sqref>L4:L88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1F8DD-C317-49DB-BF12-5F019C520219}">
  <sheetPr codeName="Hoja11"/>
  <dimension ref="A1:F20"/>
  <sheetViews>
    <sheetView showGridLines="0" topLeftCell="A2" workbookViewId="0">
      <selection activeCell="C17" sqref="C17"/>
    </sheetView>
  </sheetViews>
  <sheetFormatPr baseColWidth="10" defaultColWidth="9.140625" defaultRowHeight="15" x14ac:dyDescent="0.25"/>
  <cols>
    <col min="1" max="1" width="8.5703125" customWidth="1"/>
    <col min="2" max="2" width="26" customWidth="1"/>
    <col min="3" max="4" width="16" customWidth="1"/>
    <col min="5" max="5" width="26" customWidth="1"/>
    <col min="6" max="6" width="8.5703125" customWidth="1"/>
  </cols>
  <sheetData>
    <row r="1" spans="1:6" ht="27.95" customHeight="1" x14ac:dyDescent="0.25">
      <c r="A1" s="147" t="s">
        <v>850</v>
      </c>
      <c r="B1" s="147"/>
      <c r="C1" s="147"/>
      <c r="D1" s="147"/>
      <c r="E1" s="147"/>
      <c r="F1" s="147"/>
    </row>
    <row r="2" spans="1:6" ht="15" customHeight="1" x14ac:dyDescent="0.25">
      <c r="A2" s="165" t="s">
        <v>851</v>
      </c>
      <c r="B2" s="165"/>
      <c r="C2" s="165"/>
      <c r="D2" s="165"/>
      <c r="E2" s="165"/>
      <c r="F2" s="165"/>
    </row>
    <row r="4" spans="1:6" ht="20.100000000000001" customHeight="1" x14ac:dyDescent="0.25">
      <c r="B4" s="168" t="s">
        <v>852</v>
      </c>
      <c r="C4" s="148"/>
      <c r="D4" s="148"/>
      <c r="E4" s="148"/>
    </row>
    <row r="5" spans="1:6" x14ac:dyDescent="0.25">
      <c r="B5" s="54" t="s">
        <v>85</v>
      </c>
      <c r="C5" s="54" t="s">
        <v>98</v>
      </c>
      <c r="D5" s="54" t="s">
        <v>90</v>
      </c>
      <c r="E5" s="54" t="s">
        <v>853</v>
      </c>
    </row>
    <row r="6" spans="1:6" ht="20.100000000000001" customHeight="1" x14ac:dyDescent="0.25">
      <c r="B6" s="56" t="s">
        <v>854</v>
      </c>
      <c r="C6" s="75">
        <f>COUNT('Caso 2 (Transacciones)'!A4:A303)</f>
        <v>300</v>
      </c>
      <c r="D6" s="75"/>
      <c r="E6" s="56"/>
    </row>
    <row r="7" spans="1:6" ht="20.100000000000001" customHeight="1" x14ac:dyDescent="0.25">
      <c r="B7" s="55" t="s">
        <v>855</v>
      </c>
      <c r="C7" s="59">
        <f>COUNTIF('Caso 2 (Transacciones)'!L4:L303,"&lt;&gt;Normal")</f>
        <v>122</v>
      </c>
      <c r="D7" s="82">
        <f>C7/$C$6</f>
        <v>0.40666666666666668</v>
      </c>
      <c r="E7" s="55" t="s">
        <v>856</v>
      </c>
    </row>
    <row r="8" spans="1:6" ht="20.100000000000001" customHeight="1" x14ac:dyDescent="0.25">
      <c r="B8" s="56" t="s">
        <v>857</v>
      </c>
      <c r="C8" s="75">
        <f>C6-C18</f>
        <v>178</v>
      </c>
      <c r="D8" s="83">
        <f>C8/$C$6</f>
        <v>0.59333333333333338</v>
      </c>
      <c r="E8" s="56" t="s">
        <v>858</v>
      </c>
    </row>
    <row r="9" spans="1:6" ht="20.100000000000001" customHeight="1" x14ac:dyDescent="0.25">
      <c r="B9" s="55" t="s">
        <v>859</v>
      </c>
      <c r="C9" s="59" cm="1">
        <f t="array" ref="C9">SUM(IF(COUNTIFS('Caso 2 (Transacciones)'!B4:B301,'Caso 2 (Transacciones)'!B4:B301,'Caso 2 (Transacciones)'!L4:L301,"&lt;&gt;Normal")&gt;0,1/COUNTIF('Caso 2 (Transacciones)'!B4:B301,'Caso 2 (Transacciones)'!B4:B301),0))</f>
        <v>33.000000000000014</v>
      </c>
      <c r="D9" s="59"/>
      <c r="E9" s="55" t="s">
        <v>860</v>
      </c>
    </row>
    <row r="11" spans="1:6" ht="20.100000000000001" customHeight="1" x14ac:dyDescent="0.25">
      <c r="B11" s="168" t="s">
        <v>861</v>
      </c>
      <c r="C11" s="148"/>
      <c r="D11" s="148"/>
      <c r="E11" s="148"/>
    </row>
    <row r="12" spans="1:6" x14ac:dyDescent="0.25">
      <c r="B12" s="54" t="s">
        <v>380</v>
      </c>
      <c r="C12" s="54" t="s">
        <v>862</v>
      </c>
      <c r="D12" s="54" t="s">
        <v>863</v>
      </c>
      <c r="E12" s="54" t="s">
        <v>864</v>
      </c>
    </row>
    <row r="13" spans="1:6" ht="21.95" customHeight="1" x14ac:dyDescent="0.25">
      <c r="B13" s="84" t="s">
        <v>404</v>
      </c>
      <c r="C13" s="85">
        <f>COUNTIF('Caso 2 (Transacciones)'!L4:L303,"Monto alto + Inconsistencia")</f>
        <v>50</v>
      </c>
      <c r="D13" s="86">
        <f>C13/$C$6</f>
        <v>0.16666666666666666</v>
      </c>
      <c r="E13" s="85" t="s">
        <v>406</v>
      </c>
    </row>
    <row r="14" spans="1:6" ht="21.95" customHeight="1" x14ac:dyDescent="0.25">
      <c r="B14" s="84" t="s">
        <v>390</v>
      </c>
      <c r="C14" s="85">
        <f>COUNTIF('Caso 2 (Transacciones)'!L4:L303,"Inconsistencia de perfil")</f>
        <v>18</v>
      </c>
      <c r="D14" s="86">
        <f>C14/$C$6</f>
        <v>0.06</v>
      </c>
      <c r="E14" s="85" t="s">
        <v>225</v>
      </c>
    </row>
    <row r="15" spans="1:6" ht="21.95" customHeight="1" x14ac:dyDescent="0.25">
      <c r="B15" s="87" t="s">
        <v>384</v>
      </c>
      <c r="C15" s="88">
        <f>COUNTIF('Caso 2 (Transacciones)'!L$4:L$300,"Monto alto en efectivo")</f>
        <v>7</v>
      </c>
      <c r="D15" s="89">
        <f>C15/$C$6</f>
        <v>2.3333333333333334E-2</v>
      </c>
      <c r="E15" s="88" t="s">
        <v>865</v>
      </c>
    </row>
    <row r="16" spans="1:6" ht="21.95" customHeight="1" x14ac:dyDescent="0.25">
      <c r="B16" s="84" t="s">
        <v>395</v>
      </c>
      <c r="C16" s="85">
        <f>COUNTIF('Caso 2 (Transacciones)'!L4:L303,"Posible fraccionamiento")</f>
        <v>45</v>
      </c>
      <c r="D16" s="86">
        <f>C16/$C$6</f>
        <v>0.15</v>
      </c>
      <c r="E16" s="85" t="s">
        <v>397</v>
      </c>
    </row>
    <row r="17" spans="2:5" ht="21.95" customHeight="1" x14ac:dyDescent="0.25">
      <c r="B17" s="84" t="s">
        <v>399</v>
      </c>
      <c r="C17" s="85">
        <f>COUNTIF('Caso 2 (Transacciones)'!L4:L303,"Retiro inmediato")</f>
        <v>2</v>
      </c>
      <c r="D17" s="86">
        <f>C17/$C$6</f>
        <v>6.6666666666666671E-3</v>
      </c>
      <c r="E17" s="85" t="s">
        <v>866</v>
      </c>
    </row>
    <row r="18" spans="2:5" x14ac:dyDescent="0.25">
      <c r="B18" s="81" t="s">
        <v>187</v>
      </c>
      <c r="C18" s="81">
        <f>SUM(C13:C17)</f>
        <v>122</v>
      </c>
      <c r="D18" s="90">
        <f>SUM(D13:D17)</f>
        <v>0.40666666666666668</v>
      </c>
      <c r="E18" s="81"/>
    </row>
    <row r="20" spans="2:5" ht="39.950000000000003" customHeight="1" x14ac:dyDescent="0.25">
      <c r="B20" s="164" t="s">
        <v>867</v>
      </c>
      <c r="C20" s="148"/>
      <c r="D20" s="148"/>
      <c r="E20" s="148"/>
    </row>
  </sheetData>
  <mergeCells count="5">
    <mergeCell ref="A1:F1"/>
    <mergeCell ref="A2:F2"/>
    <mergeCell ref="B4:E4"/>
    <mergeCell ref="B11:E11"/>
    <mergeCell ref="B20:E20"/>
  </mergeCells>
  <pageMargins left="0.75" right="0.75" top="1" bottom="1" header="0.5" footer="0.5"/>
  <ignoredErrors>
    <ignoredError sqref="C9"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E1C7E-2D6A-4B48-AD64-7F14DE3D4AE0}">
  <sheetPr codeName="Hoja12"/>
  <dimension ref="A1:C26"/>
  <sheetViews>
    <sheetView showGridLines="0" workbookViewId="0">
      <selection sqref="A1:C2"/>
    </sheetView>
  </sheetViews>
  <sheetFormatPr baseColWidth="10" defaultColWidth="9.140625" defaultRowHeight="15" x14ac:dyDescent="0.25"/>
  <cols>
    <col min="1" max="1" width="30" customWidth="1"/>
    <col min="2" max="2" width="96.5703125" customWidth="1"/>
    <col min="3" max="3" width="24" customWidth="1"/>
  </cols>
  <sheetData>
    <row r="1" spans="1:3" ht="27.95" customHeight="1" x14ac:dyDescent="0.25">
      <c r="A1" s="147" t="s">
        <v>870</v>
      </c>
      <c r="B1" s="148"/>
      <c r="C1" s="148"/>
    </row>
    <row r="2" spans="1:3" ht="15.95" customHeight="1" x14ac:dyDescent="0.25">
      <c r="A2" s="165" t="s">
        <v>871</v>
      </c>
      <c r="B2" s="148"/>
      <c r="C2" s="148"/>
    </row>
    <row r="3" spans="1:3" ht="30" customHeight="1" x14ac:dyDescent="0.25">
      <c r="A3" s="54" t="s">
        <v>168</v>
      </c>
      <c r="B3" s="54" t="s">
        <v>872</v>
      </c>
      <c r="C3" s="54" t="s">
        <v>166</v>
      </c>
    </row>
    <row r="4" spans="1:3" ht="18" customHeight="1" x14ac:dyDescent="0.25">
      <c r="A4" s="150" t="s">
        <v>165</v>
      </c>
      <c r="B4" s="148"/>
      <c r="C4" s="148"/>
    </row>
    <row r="5" spans="1:3" ht="42" customHeight="1" x14ac:dyDescent="0.25">
      <c r="A5" s="55" t="s">
        <v>164</v>
      </c>
      <c r="B5" s="55" t="s">
        <v>873</v>
      </c>
      <c r="C5" s="55" t="s">
        <v>162</v>
      </c>
    </row>
    <row r="6" spans="1:3" ht="42" customHeight="1" x14ac:dyDescent="0.25">
      <c r="A6" s="56" t="s">
        <v>155</v>
      </c>
      <c r="B6" s="56" t="s">
        <v>874</v>
      </c>
      <c r="C6" s="56" t="s">
        <v>153</v>
      </c>
    </row>
    <row r="7" spans="1:3" ht="42" customHeight="1" x14ac:dyDescent="0.25">
      <c r="A7" s="55" t="s">
        <v>161</v>
      </c>
      <c r="B7" s="55" t="s">
        <v>875</v>
      </c>
      <c r="C7" s="55" t="s">
        <v>159</v>
      </c>
    </row>
    <row r="8" spans="1:3" ht="42" customHeight="1" x14ac:dyDescent="0.25">
      <c r="A8" s="56" t="s">
        <v>158</v>
      </c>
      <c r="B8" s="56" t="s">
        <v>876</v>
      </c>
      <c r="C8" s="56" t="s">
        <v>156</v>
      </c>
    </row>
    <row r="9" spans="1:3" ht="42" customHeight="1" x14ac:dyDescent="0.25">
      <c r="A9" s="55" t="s">
        <v>877</v>
      </c>
      <c r="B9" s="55" t="s">
        <v>878</v>
      </c>
      <c r="C9" s="55" t="s">
        <v>162</v>
      </c>
    </row>
    <row r="10" spans="1:3" ht="42" customHeight="1" x14ac:dyDescent="0.25">
      <c r="A10" s="56" t="s">
        <v>879</v>
      </c>
      <c r="B10" s="56" t="s">
        <v>880</v>
      </c>
      <c r="C10" s="56" t="s">
        <v>881</v>
      </c>
    </row>
    <row r="11" spans="1:3" ht="18" customHeight="1" x14ac:dyDescent="0.25">
      <c r="A11" s="150" t="s">
        <v>152</v>
      </c>
      <c r="B11" s="148"/>
      <c r="C11" s="148"/>
    </row>
    <row r="12" spans="1:3" ht="42" customHeight="1" x14ac:dyDescent="0.25">
      <c r="A12" s="55" t="s">
        <v>882</v>
      </c>
      <c r="B12" s="55" t="s">
        <v>883</v>
      </c>
      <c r="C12" s="55" t="s">
        <v>141</v>
      </c>
    </row>
    <row r="13" spans="1:3" ht="42" customHeight="1" x14ac:dyDescent="0.25">
      <c r="A13" s="56" t="s">
        <v>884</v>
      </c>
      <c r="B13" s="56" t="s">
        <v>885</v>
      </c>
      <c r="C13" s="56" t="s">
        <v>141</v>
      </c>
    </row>
    <row r="14" spans="1:3" ht="42" customHeight="1" x14ac:dyDescent="0.25">
      <c r="A14" s="55" t="s">
        <v>886</v>
      </c>
      <c r="B14" s="55" t="s">
        <v>887</v>
      </c>
      <c r="C14" s="55" t="s">
        <v>141</v>
      </c>
    </row>
    <row r="15" spans="1:3" ht="42" customHeight="1" x14ac:dyDescent="0.25">
      <c r="A15" s="56" t="s">
        <v>888</v>
      </c>
      <c r="B15" s="56" t="s">
        <v>889</v>
      </c>
      <c r="C15" s="56" t="s">
        <v>141</v>
      </c>
    </row>
    <row r="16" spans="1:3" ht="42" customHeight="1" x14ac:dyDescent="0.25">
      <c r="A16" s="55" t="s">
        <v>890</v>
      </c>
      <c r="B16" s="55" t="s">
        <v>891</v>
      </c>
      <c r="C16" s="55" t="s">
        <v>141</v>
      </c>
    </row>
    <row r="17" spans="1:3" ht="42" customHeight="1" x14ac:dyDescent="0.25">
      <c r="A17" s="56" t="s">
        <v>892</v>
      </c>
      <c r="B17" s="56" t="s">
        <v>893</v>
      </c>
      <c r="C17" s="56" t="s">
        <v>894</v>
      </c>
    </row>
    <row r="18" spans="1:3" ht="42" customHeight="1" x14ac:dyDescent="0.25">
      <c r="A18" s="55" t="s">
        <v>895</v>
      </c>
      <c r="B18" s="55" t="s">
        <v>896</v>
      </c>
      <c r="C18" s="55" t="s">
        <v>138</v>
      </c>
    </row>
    <row r="19" spans="1:3" ht="18" customHeight="1" x14ac:dyDescent="0.25">
      <c r="A19" s="150" t="s">
        <v>897</v>
      </c>
      <c r="B19" s="148"/>
      <c r="C19" s="148"/>
    </row>
    <row r="20" spans="1:3" ht="50.25" customHeight="1" x14ac:dyDescent="0.25">
      <c r="A20" s="55" t="s">
        <v>898</v>
      </c>
      <c r="B20" s="55" t="s">
        <v>899</v>
      </c>
      <c r="C20" s="55" t="s">
        <v>900</v>
      </c>
    </row>
    <row r="21" spans="1:3" ht="50.25" customHeight="1" x14ac:dyDescent="0.25">
      <c r="A21" s="56" t="s">
        <v>901</v>
      </c>
      <c r="B21" s="56" t="s">
        <v>902</v>
      </c>
      <c r="C21" s="56" t="s">
        <v>903</v>
      </c>
    </row>
    <row r="22" spans="1:3" ht="50.25" customHeight="1" x14ac:dyDescent="0.25">
      <c r="A22" s="55" t="s">
        <v>904</v>
      </c>
      <c r="B22" s="55" t="s">
        <v>905</v>
      </c>
      <c r="C22" s="55" t="s">
        <v>906</v>
      </c>
    </row>
    <row r="23" spans="1:3" ht="50.25" customHeight="1" x14ac:dyDescent="0.25">
      <c r="A23" s="56" t="s">
        <v>907</v>
      </c>
      <c r="B23" s="56" t="s">
        <v>908</v>
      </c>
      <c r="C23" s="56" t="s">
        <v>909</v>
      </c>
    </row>
    <row r="24" spans="1:3" ht="50.25" customHeight="1" x14ac:dyDescent="0.25">
      <c r="A24" s="55" t="s">
        <v>910</v>
      </c>
      <c r="B24" s="55" t="s">
        <v>911</v>
      </c>
      <c r="C24" s="55" t="s">
        <v>912</v>
      </c>
    </row>
    <row r="25" spans="1:3" ht="50.25" customHeight="1" x14ac:dyDescent="0.25">
      <c r="A25" s="56" t="s">
        <v>913</v>
      </c>
      <c r="B25" s="56" t="s">
        <v>914</v>
      </c>
      <c r="C25" s="56" t="s">
        <v>915</v>
      </c>
    </row>
    <row r="26" spans="1:3" ht="32.1" customHeight="1" x14ac:dyDescent="0.25">
      <c r="A26" s="164" t="s">
        <v>916</v>
      </c>
      <c r="B26" s="148"/>
      <c r="C26" s="148"/>
    </row>
  </sheetData>
  <mergeCells count="6">
    <mergeCell ref="A26:C26"/>
    <mergeCell ref="A1:C1"/>
    <mergeCell ref="A2:C2"/>
    <mergeCell ref="A4:C4"/>
    <mergeCell ref="A11:C11"/>
    <mergeCell ref="A19:C19"/>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5516-85D2-481E-A10C-214E32F1F235}">
  <sheetPr codeName="Hoja13"/>
  <dimension ref="A1:J155"/>
  <sheetViews>
    <sheetView showGridLines="0" workbookViewId="0">
      <selection activeCell="E136" sqref="E136:E139"/>
    </sheetView>
  </sheetViews>
  <sheetFormatPr baseColWidth="10" defaultColWidth="9.140625" defaultRowHeight="15" x14ac:dyDescent="0.25"/>
  <cols>
    <col min="1" max="1" width="14" customWidth="1"/>
    <col min="2" max="2" width="12" customWidth="1"/>
    <col min="3" max="4" width="18" customWidth="1"/>
    <col min="5" max="5" width="20" customWidth="1"/>
    <col min="8" max="8" width="11.7109375" customWidth="1"/>
    <col min="9" max="9" width="15.7109375" customWidth="1"/>
    <col min="10" max="10" width="54.140625" customWidth="1"/>
  </cols>
  <sheetData>
    <row r="1" spans="1:10" ht="27.95" customHeight="1" x14ac:dyDescent="0.25">
      <c r="A1" s="147" t="s">
        <v>917</v>
      </c>
      <c r="B1" s="147"/>
      <c r="C1" s="147"/>
      <c r="D1" s="147"/>
      <c r="E1" s="147"/>
      <c r="F1" s="147"/>
      <c r="G1" s="147"/>
      <c r="H1" s="147"/>
      <c r="I1" s="147"/>
      <c r="J1" s="147"/>
    </row>
    <row r="2" spans="1:10" ht="24.75" customHeight="1" x14ac:dyDescent="0.25">
      <c r="A2" s="165" t="s">
        <v>918</v>
      </c>
      <c r="B2" s="148"/>
      <c r="C2" s="148"/>
      <c r="D2" s="148"/>
      <c r="E2" s="148"/>
      <c r="G2" s="169" t="s">
        <v>919</v>
      </c>
      <c r="H2" s="170"/>
      <c r="I2" s="170"/>
      <c r="J2" s="170"/>
    </row>
    <row r="3" spans="1:10" ht="27.95" customHeight="1" x14ac:dyDescent="0.25">
      <c r="A3" s="54" t="s">
        <v>65</v>
      </c>
      <c r="B3" s="54" t="s">
        <v>920</v>
      </c>
      <c r="C3" s="54" t="s">
        <v>921</v>
      </c>
      <c r="D3" s="54" t="s">
        <v>922</v>
      </c>
      <c r="E3" s="54" t="s">
        <v>923</v>
      </c>
      <c r="G3" s="54" t="s">
        <v>920</v>
      </c>
      <c r="H3" s="54" t="s">
        <v>924</v>
      </c>
      <c r="I3" s="54" t="s">
        <v>925</v>
      </c>
      <c r="J3" s="94" t="s">
        <v>80</v>
      </c>
    </row>
    <row r="4" spans="1:10" ht="15.95" customHeight="1" x14ac:dyDescent="0.25">
      <c r="A4" s="55" t="s">
        <v>926</v>
      </c>
      <c r="B4" s="59">
        <v>2015</v>
      </c>
      <c r="C4" s="59">
        <v>1</v>
      </c>
      <c r="D4" s="95">
        <v>407.43</v>
      </c>
      <c r="E4" s="59"/>
      <c r="G4" s="96">
        <v>2015</v>
      </c>
      <c r="H4" s="97">
        <f>SUMIF($B$4:$B$146,G4,$D$4:$D$146)</f>
        <v>6284.9600000000009</v>
      </c>
      <c r="I4" s="96"/>
      <c r="J4" s="98" t="s">
        <v>927</v>
      </c>
    </row>
    <row r="5" spans="1:10" ht="15.95" customHeight="1" x14ac:dyDescent="0.25">
      <c r="A5" s="55" t="s">
        <v>928</v>
      </c>
      <c r="B5" s="59">
        <v>2015</v>
      </c>
      <c r="C5" s="59">
        <v>2</v>
      </c>
      <c r="D5" s="95">
        <v>431.98</v>
      </c>
      <c r="E5" s="59"/>
      <c r="G5" s="96">
        <v>2016</v>
      </c>
      <c r="H5" s="97">
        <f t="shared" ref="H5:H15" si="0">SUMIF($B$4:$B$146,G5,$D$4:$D$146)</f>
        <v>7159.9700000000012</v>
      </c>
      <c r="I5" s="99" t="str">
        <f>TEXT((H5/H4)-1,"+0.0%;-0.0%")</f>
        <v>+13.9%</v>
      </c>
      <c r="J5" s="98" t="s">
        <v>929</v>
      </c>
    </row>
    <row r="6" spans="1:10" ht="15.95" customHeight="1" x14ac:dyDescent="0.25">
      <c r="A6" s="55" t="s">
        <v>930</v>
      </c>
      <c r="B6" s="59">
        <v>2015</v>
      </c>
      <c r="C6" s="59">
        <v>3</v>
      </c>
      <c r="D6" s="95">
        <v>556.48</v>
      </c>
      <c r="E6" s="59"/>
      <c r="G6" s="96">
        <v>2017</v>
      </c>
      <c r="H6" s="97">
        <f t="shared" si="0"/>
        <v>8192.2100000000009</v>
      </c>
      <c r="I6" s="99" t="str">
        <f t="shared" ref="I6:I15" si="1">TEXT((H6/H5)-1,"+0.0%;-0.0%")</f>
        <v>+14.4%</v>
      </c>
      <c r="J6" s="98" t="s">
        <v>931</v>
      </c>
    </row>
    <row r="7" spans="1:10" ht="15.95" customHeight="1" x14ac:dyDescent="0.25">
      <c r="A7" s="55" t="s">
        <v>932</v>
      </c>
      <c r="B7" s="59">
        <v>2015</v>
      </c>
      <c r="C7" s="59">
        <v>4</v>
      </c>
      <c r="D7" s="95">
        <v>503.85</v>
      </c>
      <c r="E7" s="59"/>
      <c r="G7" s="96">
        <v>2018</v>
      </c>
      <c r="H7" s="97">
        <f t="shared" si="0"/>
        <v>9287.7900000000009</v>
      </c>
      <c r="I7" s="99" t="str">
        <f t="shared" si="1"/>
        <v>+13.4%</v>
      </c>
      <c r="J7" s="98" t="s">
        <v>933</v>
      </c>
    </row>
    <row r="8" spans="1:10" ht="15.95" customHeight="1" x14ac:dyDescent="0.25">
      <c r="A8" s="55" t="s">
        <v>934</v>
      </c>
      <c r="B8" s="59">
        <v>2015</v>
      </c>
      <c r="C8" s="59">
        <v>5</v>
      </c>
      <c r="D8" s="95">
        <v>518.95000000000005</v>
      </c>
      <c r="E8" s="59"/>
      <c r="G8" s="96">
        <v>2019</v>
      </c>
      <c r="H8" s="97">
        <f t="shared" si="0"/>
        <v>10508.32</v>
      </c>
      <c r="I8" s="99" t="str">
        <f t="shared" si="1"/>
        <v>+13.1%</v>
      </c>
      <c r="J8" s="98" t="s">
        <v>935</v>
      </c>
    </row>
    <row r="9" spans="1:10" ht="15.95" customHeight="1" x14ac:dyDescent="0.25">
      <c r="A9" s="55" t="s">
        <v>936</v>
      </c>
      <c r="B9" s="59">
        <v>2015</v>
      </c>
      <c r="C9" s="59">
        <v>6</v>
      </c>
      <c r="D9" s="95">
        <v>536.29999999999995</v>
      </c>
      <c r="E9" s="59"/>
      <c r="G9" s="96">
        <v>2020</v>
      </c>
      <c r="H9" s="97">
        <f t="shared" si="0"/>
        <v>11340.41</v>
      </c>
      <c r="I9" s="99" t="str">
        <f t="shared" si="1"/>
        <v>+7.9%</v>
      </c>
      <c r="J9" s="98" t="s">
        <v>937</v>
      </c>
    </row>
    <row r="10" spans="1:10" ht="15.95" customHeight="1" x14ac:dyDescent="0.25">
      <c r="A10" s="55" t="s">
        <v>938</v>
      </c>
      <c r="B10" s="59">
        <v>2015</v>
      </c>
      <c r="C10" s="59">
        <v>7</v>
      </c>
      <c r="D10" s="95">
        <v>573.71</v>
      </c>
      <c r="E10" s="59"/>
      <c r="G10" s="96">
        <v>2021</v>
      </c>
      <c r="H10" s="97">
        <f t="shared" si="0"/>
        <v>15295.68</v>
      </c>
      <c r="I10" s="99" t="str">
        <f t="shared" si="1"/>
        <v>+34.9%</v>
      </c>
      <c r="J10" s="98" t="s">
        <v>939</v>
      </c>
    </row>
    <row r="11" spans="1:10" ht="15.95" customHeight="1" x14ac:dyDescent="0.25">
      <c r="A11" s="55" t="s">
        <v>940</v>
      </c>
      <c r="B11" s="59">
        <v>2015</v>
      </c>
      <c r="C11" s="59">
        <v>8</v>
      </c>
      <c r="D11" s="95">
        <v>527.34</v>
      </c>
      <c r="E11" s="59"/>
      <c r="G11" s="96">
        <v>2022</v>
      </c>
      <c r="H11" s="97">
        <f t="shared" si="0"/>
        <v>18040.310000000001</v>
      </c>
      <c r="I11" s="99" t="str">
        <f t="shared" si="1"/>
        <v>+17.9%</v>
      </c>
      <c r="J11" s="98" t="s">
        <v>941</v>
      </c>
    </row>
    <row r="12" spans="1:10" ht="15.95" customHeight="1" x14ac:dyDescent="0.25">
      <c r="A12" s="55" t="s">
        <v>942</v>
      </c>
      <c r="B12" s="59">
        <v>2015</v>
      </c>
      <c r="C12" s="59">
        <v>9</v>
      </c>
      <c r="D12" s="95">
        <v>538.35</v>
      </c>
      <c r="E12" s="59"/>
      <c r="G12" s="96">
        <v>2023</v>
      </c>
      <c r="H12" s="97">
        <f t="shared" si="0"/>
        <v>19803.980000000003</v>
      </c>
      <c r="I12" s="99" t="str">
        <f t="shared" si="1"/>
        <v>+9.8%</v>
      </c>
      <c r="J12" s="98" t="s">
        <v>943</v>
      </c>
    </row>
    <row r="13" spans="1:10" ht="15.95" customHeight="1" x14ac:dyDescent="0.25">
      <c r="A13" s="55" t="s">
        <v>944</v>
      </c>
      <c r="B13" s="59">
        <v>2015</v>
      </c>
      <c r="C13" s="59">
        <v>10</v>
      </c>
      <c r="D13" s="95">
        <v>583.76</v>
      </c>
      <c r="E13" s="59"/>
      <c r="G13" s="96">
        <v>2024</v>
      </c>
      <c r="H13" s="97">
        <f t="shared" si="0"/>
        <v>21510.19</v>
      </c>
      <c r="I13" s="99" t="str">
        <f t="shared" si="1"/>
        <v>+8.6%</v>
      </c>
      <c r="J13" s="98" t="s">
        <v>945</v>
      </c>
    </row>
    <row r="14" spans="1:10" ht="15.95" customHeight="1" x14ac:dyDescent="0.25">
      <c r="A14" s="55" t="s">
        <v>946</v>
      </c>
      <c r="B14" s="59">
        <v>2015</v>
      </c>
      <c r="C14" s="59">
        <v>11</v>
      </c>
      <c r="D14" s="95">
        <v>508.66</v>
      </c>
      <c r="E14" s="59"/>
      <c r="G14" s="96">
        <v>2025</v>
      </c>
      <c r="H14" s="97">
        <f t="shared" si="0"/>
        <v>25530.23</v>
      </c>
      <c r="I14" s="99" t="str">
        <f t="shared" si="1"/>
        <v>+18.7%</v>
      </c>
      <c r="J14" s="98" t="s">
        <v>947</v>
      </c>
    </row>
    <row r="15" spans="1:10" ht="15.95" customHeight="1" x14ac:dyDescent="0.25">
      <c r="A15" s="55" t="s">
        <v>948</v>
      </c>
      <c r="B15" s="59">
        <v>2015</v>
      </c>
      <c r="C15" s="59">
        <v>12</v>
      </c>
      <c r="D15" s="95">
        <v>598.15</v>
      </c>
      <c r="E15" s="59"/>
      <c r="G15" s="96">
        <v>2026</v>
      </c>
      <c r="H15" s="97">
        <f t="shared" si="0"/>
        <v>8431.56</v>
      </c>
      <c r="I15" s="99" t="str">
        <f t="shared" si="1"/>
        <v>-67.0%</v>
      </c>
      <c r="J15" s="98" t="s">
        <v>949</v>
      </c>
    </row>
    <row r="16" spans="1:10" ht="15.95" customHeight="1" x14ac:dyDescent="0.25">
      <c r="A16" s="57" t="s">
        <v>950</v>
      </c>
      <c r="B16" s="58">
        <v>2016</v>
      </c>
      <c r="C16" s="58">
        <v>1</v>
      </c>
      <c r="D16" s="100">
        <v>481.96</v>
      </c>
      <c r="E16" s="213" t="str">
        <f>TEXT((D16/D4)-1,"+0.0%;-0.0%")</f>
        <v>+18.3%</v>
      </c>
      <c r="G16" s="171" t="s">
        <v>951</v>
      </c>
      <c r="H16" s="171"/>
      <c r="I16" s="171"/>
      <c r="J16" s="171"/>
    </row>
    <row r="17" spans="1:10" ht="15.95" customHeight="1" x14ac:dyDescent="0.25">
      <c r="A17" s="57" t="s">
        <v>952</v>
      </c>
      <c r="B17" s="58">
        <v>2016</v>
      </c>
      <c r="C17" s="58">
        <v>2</v>
      </c>
      <c r="D17" s="100">
        <v>558.04</v>
      </c>
      <c r="E17" s="213" t="str">
        <f t="shared" ref="E17:E80" si="2">TEXT((D17/D5)-1,"+0.0%;-0.0%")</f>
        <v>+29.2%</v>
      </c>
      <c r="G17" s="172"/>
      <c r="H17" s="172"/>
      <c r="I17" s="172"/>
      <c r="J17" s="172"/>
    </row>
    <row r="18" spans="1:10" ht="15.95" customHeight="1" x14ac:dyDescent="0.25">
      <c r="A18" s="57" t="s">
        <v>953</v>
      </c>
      <c r="B18" s="58">
        <v>2016</v>
      </c>
      <c r="C18" s="58">
        <v>3</v>
      </c>
      <c r="D18" s="100">
        <v>622.99</v>
      </c>
      <c r="E18" s="213" t="str">
        <f t="shared" si="2"/>
        <v>+12.0%</v>
      </c>
    </row>
    <row r="19" spans="1:10" ht="15.95" customHeight="1" x14ac:dyDescent="0.25">
      <c r="A19" s="57" t="s">
        <v>954</v>
      </c>
      <c r="B19" s="58">
        <v>2016</v>
      </c>
      <c r="C19" s="58">
        <v>4</v>
      </c>
      <c r="D19" s="100">
        <v>609.30999999999995</v>
      </c>
      <c r="E19" s="213" t="str">
        <f t="shared" si="2"/>
        <v>+20.9%</v>
      </c>
    </row>
    <row r="20" spans="1:10" ht="15.95" customHeight="1" x14ac:dyDescent="0.25">
      <c r="A20" s="57" t="s">
        <v>955</v>
      </c>
      <c r="B20" s="58">
        <v>2016</v>
      </c>
      <c r="C20" s="58">
        <v>5</v>
      </c>
      <c r="D20" s="100">
        <v>625.29999999999995</v>
      </c>
      <c r="E20" s="213" t="str">
        <f t="shared" si="2"/>
        <v>+20.5%</v>
      </c>
    </row>
    <row r="21" spans="1:10" ht="15.95" customHeight="1" x14ac:dyDescent="0.25">
      <c r="A21" s="57" t="s">
        <v>956</v>
      </c>
      <c r="B21" s="58">
        <v>2016</v>
      </c>
      <c r="C21" s="58">
        <v>6</v>
      </c>
      <c r="D21" s="100">
        <v>614.66</v>
      </c>
      <c r="E21" s="213" t="str">
        <f t="shared" si="2"/>
        <v>+14.6%</v>
      </c>
    </row>
    <row r="22" spans="1:10" ht="15.95" customHeight="1" x14ac:dyDescent="0.25">
      <c r="A22" s="57" t="s">
        <v>957</v>
      </c>
      <c r="B22" s="58">
        <v>2016</v>
      </c>
      <c r="C22" s="58">
        <v>7</v>
      </c>
      <c r="D22" s="100">
        <v>536.12</v>
      </c>
      <c r="E22" s="213" t="str">
        <f t="shared" si="2"/>
        <v>-6.6%</v>
      </c>
    </row>
    <row r="23" spans="1:10" ht="15.95" customHeight="1" x14ac:dyDescent="0.25">
      <c r="A23" s="57" t="s">
        <v>958</v>
      </c>
      <c r="B23" s="58">
        <v>2016</v>
      </c>
      <c r="C23" s="58">
        <v>8</v>
      </c>
      <c r="D23" s="100">
        <v>619.23</v>
      </c>
      <c r="E23" s="213" t="str">
        <f t="shared" si="2"/>
        <v>+17.4%</v>
      </c>
    </row>
    <row r="24" spans="1:10" ht="15.95" customHeight="1" x14ac:dyDescent="0.25">
      <c r="A24" s="57" t="s">
        <v>959</v>
      </c>
      <c r="B24" s="58">
        <v>2016</v>
      </c>
      <c r="C24" s="58">
        <v>9</v>
      </c>
      <c r="D24" s="100">
        <v>607.66999999999996</v>
      </c>
      <c r="E24" s="213" t="str">
        <f t="shared" si="2"/>
        <v>+12.9%</v>
      </c>
    </row>
    <row r="25" spans="1:10" ht="15.95" customHeight="1" x14ac:dyDescent="0.25">
      <c r="A25" s="57" t="s">
        <v>960</v>
      </c>
      <c r="B25" s="58">
        <v>2016</v>
      </c>
      <c r="C25" s="58">
        <v>10</v>
      </c>
      <c r="D25" s="100">
        <v>605.94000000000005</v>
      </c>
      <c r="E25" s="213" t="str">
        <f t="shared" si="2"/>
        <v>+3.8%</v>
      </c>
    </row>
    <row r="26" spans="1:10" ht="15.95" customHeight="1" x14ac:dyDescent="0.25">
      <c r="A26" s="57" t="s">
        <v>961</v>
      </c>
      <c r="B26" s="58">
        <v>2016</v>
      </c>
      <c r="C26" s="58">
        <v>11</v>
      </c>
      <c r="D26" s="100">
        <v>600.34</v>
      </c>
      <c r="E26" s="213" t="str">
        <f t="shared" si="2"/>
        <v>+18.0%</v>
      </c>
    </row>
    <row r="27" spans="1:10" ht="15.95" customHeight="1" x14ac:dyDescent="0.25">
      <c r="A27" s="57" t="s">
        <v>962</v>
      </c>
      <c r="B27" s="58">
        <v>2016</v>
      </c>
      <c r="C27" s="58">
        <v>12</v>
      </c>
      <c r="D27" s="100">
        <v>678.41</v>
      </c>
      <c r="E27" s="213" t="str">
        <f t="shared" si="2"/>
        <v>+13.4%</v>
      </c>
    </row>
    <row r="28" spans="1:10" ht="15.95" customHeight="1" x14ac:dyDescent="0.25">
      <c r="A28" s="55" t="s">
        <v>963</v>
      </c>
      <c r="B28" s="59">
        <v>2017</v>
      </c>
      <c r="C28" s="59">
        <v>1</v>
      </c>
      <c r="D28" s="95">
        <v>587.63</v>
      </c>
      <c r="E28" s="99" t="str">
        <f t="shared" si="2"/>
        <v>+21.9%</v>
      </c>
    </row>
    <row r="29" spans="1:10" ht="15.95" customHeight="1" x14ac:dyDescent="0.25">
      <c r="A29" s="55" t="s">
        <v>964</v>
      </c>
      <c r="B29" s="59">
        <v>2017</v>
      </c>
      <c r="C29" s="59">
        <v>2</v>
      </c>
      <c r="D29" s="95">
        <v>613.9</v>
      </c>
      <c r="E29" s="99" t="str">
        <f t="shared" si="2"/>
        <v>+10.0%</v>
      </c>
    </row>
    <row r="30" spans="1:10" ht="15.95" customHeight="1" x14ac:dyDescent="0.25">
      <c r="A30" s="55" t="s">
        <v>965</v>
      </c>
      <c r="B30" s="59">
        <v>2017</v>
      </c>
      <c r="C30" s="59">
        <v>3</v>
      </c>
      <c r="D30" s="95">
        <v>739.82</v>
      </c>
      <c r="E30" s="99" t="str">
        <f t="shared" si="2"/>
        <v>+18.8%</v>
      </c>
    </row>
    <row r="31" spans="1:10" ht="15.95" customHeight="1" x14ac:dyDescent="0.25">
      <c r="A31" s="55" t="s">
        <v>966</v>
      </c>
      <c r="B31" s="59">
        <v>2017</v>
      </c>
      <c r="C31" s="59">
        <v>4</v>
      </c>
      <c r="D31" s="95">
        <v>639.88</v>
      </c>
      <c r="E31" s="99" t="str">
        <f t="shared" si="2"/>
        <v>+5.0%</v>
      </c>
    </row>
    <row r="32" spans="1:10" ht="15.95" customHeight="1" x14ac:dyDescent="0.25">
      <c r="A32" s="55" t="s">
        <v>967</v>
      </c>
      <c r="B32" s="59">
        <v>2017</v>
      </c>
      <c r="C32" s="59">
        <v>5</v>
      </c>
      <c r="D32" s="95">
        <v>747.43</v>
      </c>
      <c r="E32" s="99" t="str">
        <f t="shared" si="2"/>
        <v>+19.5%</v>
      </c>
    </row>
    <row r="33" spans="1:5" ht="15.95" customHeight="1" x14ac:dyDescent="0.25">
      <c r="A33" s="55" t="s">
        <v>968</v>
      </c>
      <c r="B33" s="59">
        <v>2017</v>
      </c>
      <c r="C33" s="59">
        <v>6</v>
      </c>
      <c r="D33" s="95">
        <v>723.71</v>
      </c>
      <c r="E33" s="99" t="str">
        <f t="shared" si="2"/>
        <v>+17.7%</v>
      </c>
    </row>
    <row r="34" spans="1:5" ht="15.95" customHeight="1" x14ac:dyDescent="0.25">
      <c r="A34" s="55" t="s">
        <v>969</v>
      </c>
      <c r="B34" s="59">
        <v>2017</v>
      </c>
      <c r="C34" s="59">
        <v>7</v>
      </c>
      <c r="D34" s="95">
        <v>664.19</v>
      </c>
      <c r="E34" s="99" t="str">
        <f t="shared" si="2"/>
        <v>+23.9%</v>
      </c>
    </row>
    <row r="35" spans="1:5" ht="15.95" customHeight="1" x14ac:dyDescent="0.25">
      <c r="A35" s="55" t="s">
        <v>970</v>
      </c>
      <c r="B35" s="59">
        <v>2017</v>
      </c>
      <c r="C35" s="59">
        <v>8</v>
      </c>
      <c r="D35" s="95">
        <v>707.84</v>
      </c>
      <c r="E35" s="99" t="str">
        <f t="shared" si="2"/>
        <v>+14.3%</v>
      </c>
    </row>
    <row r="36" spans="1:5" ht="15.95" customHeight="1" x14ac:dyDescent="0.25">
      <c r="A36" s="55" t="s">
        <v>971</v>
      </c>
      <c r="B36" s="59">
        <v>2017</v>
      </c>
      <c r="C36" s="59">
        <v>9</v>
      </c>
      <c r="D36" s="95">
        <v>672.94</v>
      </c>
      <c r="E36" s="99" t="str">
        <f t="shared" si="2"/>
        <v>+10.7%</v>
      </c>
    </row>
    <row r="37" spans="1:5" ht="15.95" customHeight="1" x14ac:dyDescent="0.25">
      <c r="A37" s="55" t="s">
        <v>972</v>
      </c>
      <c r="B37" s="59">
        <v>2017</v>
      </c>
      <c r="C37" s="59">
        <v>10</v>
      </c>
      <c r="D37" s="95">
        <v>728.27</v>
      </c>
      <c r="E37" s="99" t="str">
        <f t="shared" si="2"/>
        <v>+20.2%</v>
      </c>
    </row>
    <row r="38" spans="1:5" ht="15.95" customHeight="1" x14ac:dyDescent="0.25">
      <c r="A38" s="55" t="s">
        <v>973</v>
      </c>
      <c r="B38" s="59">
        <v>2017</v>
      </c>
      <c r="C38" s="59">
        <v>11</v>
      </c>
      <c r="D38" s="95">
        <v>646.29999999999995</v>
      </c>
      <c r="E38" s="99" t="str">
        <f t="shared" si="2"/>
        <v>+7.7%</v>
      </c>
    </row>
    <row r="39" spans="1:5" ht="15.95" customHeight="1" x14ac:dyDescent="0.25">
      <c r="A39" s="55" t="s">
        <v>974</v>
      </c>
      <c r="B39" s="59">
        <v>2017</v>
      </c>
      <c r="C39" s="59">
        <v>12</v>
      </c>
      <c r="D39" s="95">
        <v>720.3</v>
      </c>
      <c r="E39" s="99" t="str">
        <f t="shared" si="2"/>
        <v>+6.2%</v>
      </c>
    </row>
    <row r="40" spans="1:5" ht="15.95" customHeight="1" x14ac:dyDescent="0.25">
      <c r="A40" s="57" t="s">
        <v>975</v>
      </c>
      <c r="B40" s="58">
        <v>2018</v>
      </c>
      <c r="C40" s="58">
        <v>1</v>
      </c>
      <c r="D40" s="100">
        <v>634.58000000000004</v>
      </c>
      <c r="E40" s="213" t="str">
        <f t="shared" si="2"/>
        <v>+8.0%</v>
      </c>
    </row>
    <row r="41" spans="1:5" ht="15.95" customHeight="1" x14ac:dyDescent="0.25">
      <c r="A41" s="57" t="s">
        <v>976</v>
      </c>
      <c r="B41" s="58">
        <v>2018</v>
      </c>
      <c r="C41" s="58">
        <v>2</v>
      </c>
      <c r="D41" s="100">
        <v>630.1</v>
      </c>
      <c r="E41" s="213" t="str">
        <f t="shared" si="2"/>
        <v>+2.6%</v>
      </c>
    </row>
    <row r="42" spans="1:5" ht="15.95" customHeight="1" x14ac:dyDescent="0.25">
      <c r="A42" s="57" t="s">
        <v>977</v>
      </c>
      <c r="B42" s="58">
        <v>2018</v>
      </c>
      <c r="C42" s="58">
        <v>3</v>
      </c>
      <c r="D42" s="100">
        <v>754.49</v>
      </c>
      <c r="E42" s="213" t="str">
        <f t="shared" si="2"/>
        <v>+2.0%</v>
      </c>
    </row>
    <row r="43" spans="1:5" ht="15.95" customHeight="1" x14ac:dyDescent="0.25">
      <c r="A43" s="57" t="s">
        <v>978</v>
      </c>
      <c r="B43" s="58">
        <v>2018</v>
      </c>
      <c r="C43" s="58">
        <v>4</v>
      </c>
      <c r="D43" s="100">
        <v>769.95</v>
      </c>
      <c r="E43" s="213" t="str">
        <f t="shared" si="2"/>
        <v>+20.3%</v>
      </c>
    </row>
    <row r="44" spans="1:5" ht="15.95" customHeight="1" x14ac:dyDescent="0.25">
      <c r="A44" s="57" t="s">
        <v>979</v>
      </c>
      <c r="B44" s="58">
        <v>2018</v>
      </c>
      <c r="C44" s="58">
        <v>5</v>
      </c>
      <c r="D44" s="100">
        <v>808.55</v>
      </c>
      <c r="E44" s="213" t="str">
        <f t="shared" si="2"/>
        <v>+8.2%</v>
      </c>
    </row>
    <row r="45" spans="1:5" ht="15.95" customHeight="1" x14ac:dyDescent="0.25">
      <c r="A45" s="57" t="s">
        <v>980</v>
      </c>
      <c r="B45" s="58">
        <v>2018</v>
      </c>
      <c r="C45" s="58">
        <v>6</v>
      </c>
      <c r="D45" s="100">
        <v>801.42</v>
      </c>
      <c r="E45" s="213" t="str">
        <f t="shared" si="2"/>
        <v>+10.7%</v>
      </c>
    </row>
    <row r="46" spans="1:5" ht="15.95" customHeight="1" x14ac:dyDescent="0.25">
      <c r="A46" s="57" t="s">
        <v>981</v>
      </c>
      <c r="B46" s="58">
        <v>2018</v>
      </c>
      <c r="C46" s="58">
        <v>7</v>
      </c>
      <c r="D46" s="100">
        <v>818.35</v>
      </c>
      <c r="E46" s="213" t="str">
        <f t="shared" si="2"/>
        <v>+23.2%</v>
      </c>
    </row>
    <row r="47" spans="1:5" ht="15.95" customHeight="1" x14ac:dyDescent="0.25">
      <c r="A47" s="57" t="s">
        <v>982</v>
      </c>
      <c r="B47" s="58">
        <v>2018</v>
      </c>
      <c r="C47" s="58">
        <v>8</v>
      </c>
      <c r="D47" s="100">
        <v>860.43</v>
      </c>
      <c r="E47" s="213" t="str">
        <f t="shared" si="2"/>
        <v>+21.6%</v>
      </c>
    </row>
    <row r="48" spans="1:5" ht="15.95" customHeight="1" x14ac:dyDescent="0.25">
      <c r="A48" s="57" t="s">
        <v>983</v>
      </c>
      <c r="B48" s="58">
        <v>2018</v>
      </c>
      <c r="C48" s="58">
        <v>9</v>
      </c>
      <c r="D48" s="100">
        <v>745.98</v>
      </c>
      <c r="E48" s="213" t="str">
        <f t="shared" si="2"/>
        <v>+10.9%</v>
      </c>
    </row>
    <row r="49" spans="1:5" ht="15.95" customHeight="1" x14ac:dyDescent="0.25">
      <c r="A49" s="57" t="s">
        <v>984</v>
      </c>
      <c r="B49" s="58">
        <v>2018</v>
      </c>
      <c r="C49" s="58">
        <v>10</v>
      </c>
      <c r="D49" s="100">
        <v>863.52</v>
      </c>
      <c r="E49" s="213" t="str">
        <f t="shared" si="2"/>
        <v>+18.6%</v>
      </c>
    </row>
    <row r="50" spans="1:5" ht="15.95" customHeight="1" x14ac:dyDescent="0.25">
      <c r="A50" s="57" t="s">
        <v>985</v>
      </c>
      <c r="B50" s="58">
        <v>2018</v>
      </c>
      <c r="C50" s="58">
        <v>11</v>
      </c>
      <c r="D50" s="100">
        <v>757.08</v>
      </c>
      <c r="E50" s="213" t="str">
        <f t="shared" si="2"/>
        <v>+17.1%</v>
      </c>
    </row>
    <row r="51" spans="1:5" ht="15.95" customHeight="1" x14ac:dyDescent="0.25">
      <c r="A51" s="57" t="s">
        <v>986</v>
      </c>
      <c r="B51" s="58">
        <v>2018</v>
      </c>
      <c r="C51" s="58">
        <v>12</v>
      </c>
      <c r="D51" s="100">
        <v>843.34</v>
      </c>
      <c r="E51" s="213" t="str">
        <f t="shared" si="2"/>
        <v>+17.1%</v>
      </c>
    </row>
    <row r="52" spans="1:5" ht="15.95" customHeight="1" x14ac:dyDescent="0.25">
      <c r="A52" s="55" t="s">
        <v>987</v>
      </c>
      <c r="B52" s="59">
        <v>2019</v>
      </c>
      <c r="C52" s="59">
        <v>1</v>
      </c>
      <c r="D52" s="95">
        <v>688.08</v>
      </c>
      <c r="E52" s="99" t="str">
        <f t="shared" si="2"/>
        <v>+8.4%</v>
      </c>
    </row>
    <row r="53" spans="1:5" ht="15.95" customHeight="1" x14ac:dyDescent="0.25">
      <c r="A53" s="55" t="s">
        <v>988</v>
      </c>
      <c r="B53" s="59">
        <v>2019</v>
      </c>
      <c r="C53" s="59">
        <v>2</v>
      </c>
      <c r="D53" s="95">
        <v>690.5</v>
      </c>
      <c r="E53" s="99" t="str">
        <f t="shared" si="2"/>
        <v>+9.6%</v>
      </c>
    </row>
    <row r="54" spans="1:5" ht="15.95" customHeight="1" x14ac:dyDescent="0.25">
      <c r="A54" s="55" t="s">
        <v>989</v>
      </c>
      <c r="B54" s="59">
        <v>2019</v>
      </c>
      <c r="C54" s="59">
        <v>3</v>
      </c>
      <c r="D54" s="95">
        <v>826.71</v>
      </c>
      <c r="E54" s="99" t="str">
        <f t="shared" si="2"/>
        <v>+9.6%</v>
      </c>
    </row>
    <row r="55" spans="1:5" ht="15.95" customHeight="1" x14ac:dyDescent="0.25">
      <c r="A55" s="55" t="s">
        <v>990</v>
      </c>
      <c r="B55" s="59">
        <v>2019</v>
      </c>
      <c r="C55" s="59">
        <v>4</v>
      </c>
      <c r="D55" s="95">
        <v>865.16</v>
      </c>
      <c r="E55" s="99" t="str">
        <f t="shared" si="2"/>
        <v>+12.4%</v>
      </c>
    </row>
    <row r="56" spans="1:5" ht="15.95" customHeight="1" x14ac:dyDescent="0.25">
      <c r="A56" s="55" t="s">
        <v>991</v>
      </c>
      <c r="B56" s="59">
        <v>2019</v>
      </c>
      <c r="C56" s="59">
        <v>5</v>
      </c>
      <c r="D56" s="95">
        <v>974.47</v>
      </c>
      <c r="E56" s="99" t="str">
        <f t="shared" si="2"/>
        <v>+20.5%</v>
      </c>
    </row>
    <row r="57" spans="1:5" ht="15.95" customHeight="1" x14ac:dyDescent="0.25">
      <c r="A57" s="55" t="s">
        <v>992</v>
      </c>
      <c r="B57" s="59">
        <v>2019</v>
      </c>
      <c r="C57" s="59">
        <v>6</v>
      </c>
      <c r="D57" s="95">
        <v>882.02</v>
      </c>
      <c r="E57" s="99" t="str">
        <f t="shared" si="2"/>
        <v>+10.1%</v>
      </c>
    </row>
    <row r="58" spans="1:5" ht="15.95" customHeight="1" x14ac:dyDescent="0.25">
      <c r="A58" s="55" t="s">
        <v>993</v>
      </c>
      <c r="B58" s="59">
        <v>2019</v>
      </c>
      <c r="C58" s="59">
        <v>7</v>
      </c>
      <c r="D58" s="95">
        <v>947.83</v>
      </c>
      <c r="E58" s="99" t="str">
        <f t="shared" si="2"/>
        <v>+15.8%</v>
      </c>
    </row>
    <row r="59" spans="1:5" ht="15.95" customHeight="1" x14ac:dyDescent="0.25">
      <c r="A59" s="55" t="s">
        <v>994</v>
      </c>
      <c r="B59" s="59">
        <v>2019</v>
      </c>
      <c r="C59" s="59">
        <v>8</v>
      </c>
      <c r="D59" s="95">
        <v>980.57</v>
      </c>
      <c r="E59" s="99" t="str">
        <f t="shared" si="2"/>
        <v>+14.0%</v>
      </c>
    </row>
    <row r="60" spans="1:5" ht="15.95" customHeight="1" x14ac:dyDescent="0.25">
      <c r="A60" s="55" t="s">
        <v>995</v>
      </c>
      <c r="B60" s="59">
        <v>2019</v>
      </c>
      <c r="C60" s="59">
        <v>9</v>
      </c>
      <c r="D60" s="95">
        <v>892.29</v>
      </c>
      <c r="E60" s="99" t="str">
        <f t="shared" si="2"/>
        <v>+19.6%</v>
      </c>
    </row>
    <row r="61" spans="1:5" ht="15.95" customHeight="1" x14ac:dyDescent="0.25">
      <c r="A61" s="55" t="s">
        <v>996</v>
      </c>
      <c r="B61" s="59">
        <v>2019</v>
      </c>
      <c r="C61" s="59">
        <v>10</v>
      </c>
      <c r="D61" s="95">
        <v>999.96</v>
      </c>
      <c r="E61" s="99" t="str">
        <f t="shared" si="2"/>
        <v>+15.8%</v>
      </c>
    </row>
    <row r="62" spans="1:5" ht="15.95" customHeight="1" x14ac:dyDescent="0.25">
      <c r="A62" s="55" t="s">
        <v>997</v>
      </c>
      <c r="B62" s="59">
        <v>2019</v>
      </c>
      <c r="C62" s="59">
        <v>11</v>
      </c>
      <c r="D62" s="95">
        <v>819.93</v>
      </c>
      <c r="E62" s="99" t="str">
        <f t="shared" si="2"/>
        <v>+8.3%</v>
      </c>
    </row>
    <row r="63" spans="1:5" ht="15.95" customHeight="1" x14ac:dyDescent="0.25">
      <c r="A63" s="55" t="s">
        <v>998</v>
      </c>
      <c r="B63" s="59">
        <v>2019</v>
      </c>
      <c r="C63" s="59">
        <v>12</v>
      </c>
      <c r="D63" s="95">
        <v>940.8</v>
      </c>
      <c r="E63" s="99" t="str">
        <f t="shared" si="2"/>
        <v>+11.6%</v>
      </c>
    </row>
    <row r="64" spans="1:5" ht="15.95" customHeight="1" x14ac:dyDescent="0.25">
      <c r="A64" s="57" t="s">
        <v>999</v>
      </c>
      <c r="B64" s="58">
        <v>2020</v>
      </c>
      <c r="C64" s="58">
        <v>1</v>
      </c>
      <c r="D64" s="100">
        <v>834.61</v>
      </c>
      <c r="E64" s="213" t="str">
        <f t="shared" si="2"/>
        <v>+21.3%</v>
      </c>
    </row>
    <row r="65" spans="1:5" ht="15.95" customHeight="1" x14ac:dyDescent="0.25">
      <c r="A65" s="57" t="s">
        <v>1000</v>
      </c>
      <c r="B65" s="58">
        <v>2020</v>
      </c>
      <c r="C65" s="58">
        <v>2</v>
      </c>
      <c r="D65" s="100">
        <v>808.03</v>
      </c>
      <c r="E65" s="213" t="str">
        <f t="shared" si="2"/>
        <v>+17.0%</v>
      </c>
    </row>
    <row r="66" spans="1:5" ht="15.95" customHeight="1" x14ac:dyDescent="0.25">
      <c r="A66" s="57" t="s">
        <v>1001</v>
      </c>
      <c r="B66" s="58">
        <v>2020</v>
      </c>
      <c r="C66" s="58">
        <v>3</v>
      </c>
      <c r="D66" s="100">
        <v>746.78</v>
      </c>
      <c r="E66" s="213" t="str">
        <f t="shared" si="2"/>
        <v>-9.7%</v>
      </c>
    </row>
    <row r="67" spans="1:5" ht="15.95" customHeight="1" x14ac:dyDescent="0.25">
      <c r="A67" s="57" t="s">
        <v>1002</v>
      </c>
      <c r="B67" s="58">
        <v>2020</v>
      </c>
      <c r="C67" s="58">
        <v>4</v>
      </c>
      <c r="D67" s="100">
        <v>690.77</v>
      </c>
      <c r="E67" s="213" t="str">
        <f t="shared" si="2"/>
        <v>-20.2%</v>
      </c>
    </row>
    <row r="68" spans="1:5" ht="15.95" customHeight="1" x14ac:dyDescent="0.25">
      <c r="A68" s="57" t="s">
        <v>1003</v>
      </c>
      <c r="B68" s="58">
        <v>2020</v>
      </c>
      <c r="C68" s="58">
        <v>5</v>
      </c>
      <c r="D68" s="100">
        <v>836.76</v>
      </c>
      <c r="E68" s="213" t="str">
        <f t="shared" si="2"/>
        <v>-14.1%</v>
      </c>
    </row>
    <row r="69" spans="1:5" ht="15.95" customHeight="1" x14ac:dyDescent="0.25">
      <c r="A69" s="57" t="s">
        <v>1004</v>
      </c>
      <c r="B69" s="58">
        <v>2020</v>
      </c>
      <c r="C69" s="58">
        <v>6</v>
      </c>
      <c r="D69" s="100">
        <v>963.3</v>
      </c>
      <c r="E69" s="213" t="str">
        <f t="shared" si="2"/>
        <v>+9.2%</v>
      </c>
    </row>
    <row r="70" spans="1:5" ht="15.95" customHeight="1" x14ac:dyDescent="0.25">
      <c r="A70" s="57" t="s">
        <v>1005</v>
      </c>
      <c r="B70" s="58">
        <v>2020</v>
      </c>
      <c r="C70" s="58">
        <v>7</v>
      </c>
      <c r="D70" s="100">
        <v>1078.72</v>
      </c>
      <c r="E70" s="213" t="str">
        <f t="shared" si="2"/>
        <v>+13.8%</v>
      </c>
    </row>
    <row r="71" spans="1:5" ht="15.95" customHeight="1" x14ac:dyDescent="0.25">
      <c r="A71" s="57" t="s">
        <v>1006</v>
      </c>
      <c r="B71" s="58">
        <v>2020</v>
      </c>
      <c r="C71" s="58">
        <v>8</v>
      </c>
      <c r="D71" s="100">
        <v>1050.1600000000001</v>
      </c>
      <c r="E71" s="213" t="str">
        <f t="shared" si="2"/>
        <v>+7.1%</v>
      </c>
    </row>
    <row r="72" spans="1:5" ht="15.95" customHeight="1" x14ac:dyDescent="0.25">
      <c r="A72" s="57" t="s">
        <v>1007</v>
      </c>
      <c r="B72" s="58">
        <v>2020</v>
      </c>
      <c r="C72" s="58">
        <v>9</v>
      </c>
      <c r="D72" s="100">
        <v>1051.25</v>
      </c>
      <c r="E72" s="213" t="str">
        <f t="shared" si="2"/>
        <v>+17.8%</v>
      </c>
    </row>
    <row r="73" spans="1:5" ht="15.95" customHeight="1" x14ac:dyDescent="0.25">
      <c r="A73" s="57" t="s">
        <v>1008</v>
      </c>
      <c r="B73" s="58">
        <v>2020</v>
      </c>
      <c r="C73" s="58">
        <v>10</v>
      </c>
      <c r="D73" s="100">
        <v>1132.96</v>
      </c>
      <c r="E73" s="213" t="str">
        <f t="shared" si="2"/>
        <v>+13.3%</v>
      </c>
    </row>
    <row r="74" spans="1:5" ht="15.95" customHeight="1" x14ac:dyDescent="0.25">
      <c r="A74" s="57" t="s">
        <v>1009</v>
      </c>
      <c r="B74" s="58">
        <v>2020</v>
      </c>
      <c r="C74" s="58">
        <v>11</v>
      </c>
      <c r="D74" s="100">
        <v>983.44</v>
      </c>
      <c r="E74" s="213" t="str">
        <f t="shared" si="2"/>
        <v>+19.9%</v>
      </c>
    </row>
    <row r="75" spans="1:5" ht="15.95" customHeight="1" x14ac:dyDescent="0.25">
      <c r="A75" s="57" t="s">
        <v>1010</v>
      </c>
      <c r="B75" s="58">
        <v>2020</v>
      </c>
      <c r="C75" s="58">
        <v>12</v>
      </c>
      <c r="D75" s="100">
        <v>1163.6300000000001</v>
      </c>
      <c r="E75" s="213" t="str">
        <f t="shared" si="2"/>
        <v>+23.7%</v>
      </c>
    </row>
    <row r="76" spans="1:5" ht="15.95" customHeight="1" x14ac:dyDescent="0.25">
      <c r="A76" s="55" t="s">
        <v>1011</v>
      </c>
      <c r="B76" s="59">
        <v>2021</v>
      </c>
      <c r="C76" s="59">
        <v>1</v>
      </c>
      <c r="D76" s="95">
        <v>906.8</v>
      </c>
      <c r="E76" s="99" t="str">
        <f t="shared" si="2"/>
        <v>+8.6%</v>
      </c>
    </row>
    <row r="77" spans="1:5" ht="15.95" customHeight="1" x14ac:dyDescent="0.25">
      <c r="A77" s="55" t="s">
        <v>1012</v>
      </c>
      <c r="B77" s="59">
        <v>2021</v>
      </c>
      <c r="C77" s="59">
        <v>2</v>
      </c>
      <c r="D77" s="95">
        <v>942.9</v>
      </c>
      <c r="E77" s="99" t="str">
        <f t="shared" si="2"/>
        <v>+16.7%</v>
      </c>
    </row>
    <row r="78" spans="1:5" ht="15.95" customHeight="1" x14ac:dyDescent="0.25">
      <c r="A78" s="55" t="s">
        <v>1013</v>
      </c>
      <c r="B78" s="59">
        <v>2021</v>
      </c>
      <c r="C78" s="59">
        <v>3</v>
      </c>
      <c r="D78" s="95">
        <v>1285.56</v>
      </c>
      <c r="E78" s="99" t="str">
        <f t="shared" si="2"/>
        <v>+72.1%</v>
      </c>
    </row>
    <row r="79" spans="1:5" ht="15.95" customHeight="1" x14ac:dyDescent="0.25">
      <c r="A79" s="55" t="s">
        <v>1014</v>
      </c>
      <c r="B79" s="59">
        <v>2021</v>
      </c>
      <c r="C79" s="59">
        <v>4</v>
      </c>
      <c r="D79" s="95">
        <v>1231.69</v>
      </c>
      <c r="E79" s="99" t="str">
        <f t="shared" si="2"/>
        <v>+78.3%</v>
      </c>
    </row>
    <row r="80" spans="1:5" ht="15.95" customHeight="1" x14ac:dyDescent="0.25">
      <c r="A80" s="55" t="s">
        <v>1015</v>
      </c>
      <c r="B80" s="59">
        <v>2021</v>
      </c>
      <c r="C80" s="59">
        <v>5</v>
      </c>
      <c r="D80" s="95">
        <v>1236.69</v>
      </c>
      <c r="E80" s="99" t="str">
        <f t="shared" si="2"/>
        <v>+47.8%</v>
      </c>
    </row>
    <row r="81" spans="1:5" ht="15.95" customHeight="1" x14ac:dyDescent="0.25">
      <c r="A81" s="55" t="s">
        <v>1016</v>
      </c>
      <c r="B81" s="59">
        <v>2021</v>
      </c>
      <c r="C81" s="59">
        <v>6</v>
      </c>
      <c r="D81" s="95">
        <v>1362.51</v>
      </c>
      <c r="E81" s="99" t="str">
        <f t="shared" ref="E81:E139" si="3">TEXT((D81/D69)-1,"+0.0%;-0.0%")</f>
        <v>+41.4%</v>
      </c>
    </row>
    <row r="82" spans="1:5" ht="15.95" customHeight="1" x14ac:dyDescent="0.25">
      <c r="A82" s="55" t="s">
        <v>1017</v>
      </c>
      <c r="B82" s="59">
        <v>2021</v>
      </c>
      <c r="C82" s="59">
        <v>7</v>
      </c>
      <c r="D82" s="95">
        <v>1354.33</v>
      </c>
      <c r="E82" s="99" t="str">
        <f t="shared" si="3"/>
        <v>+25.5%</v>
      </c>
    </row>
    <row r="83" spans="1:5" ht="15.95" customHeight="1" x14ac:dyDescent="0.25">
      <c r="A83" s="55" t="s">
        <v>1018</v>
      </c>
      <c r="B83" s="59">
        <v>2021</v>
      </c>
      <c r="C83" s="59">
        <v>8</v>
      </c>
      <c r="D83" s="95">
        <v>1388.59</v>
      </c>
      <c r="E83" s="99" t="str">
        <f t="shared" si="3"/>
        <v>+32.2%</v>
      </c>
    </row>
    <row r="84" spans="1:5" ht="15.95" customHeight="1" x14ac:dyDescent="0.25">
      <c r="A84" s="55" t="s">
        <v>1019</v>
      </c>
      <c r="B84" s="59">
        <v>2021</v>
      </c>
      <c r="C84" s="59">
        <v>9</v>
      </c>
      <c r="D84" s="95">
        <v>1299.32</v>
      </c>
      <c r="E84" s="99" t="str">
        <f t="shared" si="3"/>
        <v>+23.6%</v>
      </c>
    </row>
    <row r="85" spans="1:5" ht="15.95" customHeight="1" x14ac:dyDescent="0.25">
      <c r="A85" s="55" t="s">
        <v>1020</v>
      </c>
      <c r="B85" s="59">
        <v>2021</v>
      </c>
      <c r="C85" s="59">
        <v>10</v>
      </c>
      <c r="D85" s="95">
        <v>1418.5</v>
      </c>
      <c r="E85" s="99" t="str">
        <f t="shared" si="3"/>
        <v>+25.2%</v>
      </c>
    </row>
    <row r="86" spans="1:5" ht="15.95" customHeight="1" x14ac:dyDescent="0.25">
      <c r="A86" s="55" t="s">
        <v>1021</v>
      </c>
      <c r="B86" s="59">
        <v>2021</v>
      </c>
      <c r="C86" s="59">
        <v>11</v>
      </c>
      <c r="D86" s="95">
        <v>1356.63</v>
      </c>
      <c r="E86" s="99" t="str">
        <f t="shared" si="3"/>
        <v>+37.9%</v>
      </c>
    </row>
    <row r="87" spans="1:5" ht="15.95" customHeight="1" x14ac:dyDescent="0.25">
      <c r="A87" s="55" t="s">
        <v>1022</v>
      </c>
      <c r="B87" s="59">
        <v>2021</v>
      </c>
      <c r="C87" s="59">
        <v>12</v>
      </c>
      <c r="D87" s="95">
        <v>1512.16</v>
      </c>
      <c r="E87" s="99" t="str">
        <f t="shared" si="3"/>
        <v>+30.0%</v>
      </c>
    </row>
    <row r="88" spans="1:5" ht="15.95" customHeight="1" x14ac:dyDescent="0.25">
      <c r="A88" s="57" t="s">
        <v>1023</v>
      </c>
      <c r="B88" s="58">
        <v>2022</v>
      </c>
      <c r="C88" s="58">
        <v>1</v>
      </c>
      <c r="D88" s="100">
        <v>1180.74</v>
      </c>
      <c r="E88" s="213" t="str">
        <f t="shared" si="3"/>
        <v>+30.2%</v>
      </c>
    </row>
    <row r="89" spans="1:5" ht="15.95" customHeight="1" x14ac:dyDescent="0.25">
      <c r="A89" s="57" t="s">
        <v>1024</v>
      </c>
      <c r="B89" s="58">
        <v>2022</v>
      </c>
      <c r="C89" s="58">
        <v>2</v>
      </c>
      <c r="D89" s="100">
        <v>1262.67</v>
      </c>
      <c r="E89" s="213" t="str">
        <f t="shared" si="3"/>
        <v>+33.9%</v>
      </c>
    </row>
    <row r="90" spans="1:5" ht="15.95" customHeight="1" x14ac:dyDescent="0.25">
      <c r="A90" s="57" t="s">
        <v>1025</v>
      </c>
      <c r="B90" s="58">
        <v>2022</v>
      </c>
      <c r="C90" s="58">
        <v>3</v>
      </c>
      <c r="D90" s="100">
        <v>1493.14</v>
      </c>
      <c r="E90" s="213" t="str">
        <f t="shared" si="3"/>
        <v>+16.1%</v>
      </c>
    </row>
    <row r="91" spans="1:5" ht="15.95" customHeight="1" x14ac:dyDescent="0.25">
      <c r="A91" s="57" t="s">
        <v>1026</v>
      </c>
      <c r="B91" s="58">
        <v>2022</v>
      </c>
      <c r="C91" s="58">
        <v>4</v>
      </c>
      <c r="D91" s="100">
        <v>1516.1</v>
      </c>
      <c r="E91" s="213" t="str">
        <f t="shared" si="3"/>
        <v>+23.1%</v>
      </c>
    </row>
    <row r="92" spans="1:5" ht="15.95" customHeight="1" x14ac:dyDescent="0.25">
      <c r="A92" s="57" t="s">
        <v>1027</v>
      </c>
      <c r="B92" s="58">
        <v>2022</v>
      </c>
      <c r="C92" s="58">
        <v>5</v>
      </c>
      <c r="D92" s="100">
        <v>1592.51</v>
      </c>
      <c r="E92" s="213" t="str">
        <f t="shared" si="3"/>
        <v>+28.8%</v>
      </c>
    </row>
    <row r="93" spans="1:5" ht="15.95" customHeight="1" x14ac:dyDescent="0.25">
      <c r="A93" s="57" t="s">
        <v>1028</v>
      </c>
      <c r="B93" s="58">
        <v>2022</v>
      </c>
      <c r="C93" s="58">
        <v>6</v>
      </c>
      <c r="D93" s="100">
        <v>1666.22</v>
      </c>
      <c r="E93" s="213" t="str">
        <f t="shared" si="3"/>
        <v>+22.3%</v>
      </c>
    </row>
    <row r="94" spans="1:5" ht="15.95" customHeight="1" x14ac:dyDescent="0.25">
      <c r="A94" s="57" t="s">
        <v>1029</v>
      </c>
      <c r="B94" s="58">
        <v>2022</v>
      </c>
      <c r="C94" s="58">
        <v>7</v>
      </c>
      <c r="D94" s="100">
        <v>1370.03</v>
      </c>
      <c r="E94" s="213" t="str">
        <f t="shared" si="3"/>
        <v>+1.2%</v>
      </c>
    </row>
    <row r="95" spans="1:5" ht="15.95" customHeight="1" x14ac:dyDescent="0.25">
      <c r="A95" s="57" t="s">
        <v>1030</v>
      </c>
      <c r="B95" s="58">
        <v>2022</v>
      </c>
      <c r="C95" s="58">
        <v>8</v>
      </c>
      <c r="D95" s="100">
        <v>1642.65</v>
      </c>
      <c r="E95" s="213" t="str">
        <f t="shared" si="3"/>
        <v>+18.3%</v>
      </c>
    </row>
    <row r="96" spans="1:5" ht="15.95" customHeight="1" x14ac:dyDescent="0.25">
      <c r="A96" s="57" t="s">
        <v>1031</v>
      </c>
      <c r="B96" s="58">
        <v>2022</v>
      </c>
      <c r="C96" s="58">
        <v>9</v>
      </c>
      <c r="D96" s="100">
        <v>1597.21</v>
      </c>
      <c r="E96" s="213" t="str">
        <f t="shared" si="3"/>
        <v>+22.9%</v>
      </c>
    </row>
    <row r="97" spans="1:5" ht="15.95" customHeight="1" x14ac:dyDescent="0.25">
      <c r="A97" s="57" t="s">
        <v>1032</v>
      </c>
      <c r="B97" s="58">
        <v>2022</v>
      </c>
      <c r="C97" s="58">
        <v>10</v>
      </c>
      <c r="D97" s="100">
        <v>1622.43</v>
      </c>
      <c r="E97" s="213" t="str">
        <f t="shared" si="3"/>
        <v>+14.4%</v>
      </c>
    </row>
    <row r="98" spans="1:5" ht="15.95" customHeight="1" x14ac:dyDescent="0.25">
      <c r="A98" s="57" t="s">
        <v>1033</v>
      </c>
      <c r="B98" s="58">
        <v>2022</v>
      </c>
      <c r="C98" s="58">
        <v>11</v>
      </c>
      <c r="D98" s="100">
        <v>1454.98</v>
      </c>
      <c r="E98" s="213" t="str">
        <f t="shared" si="3"/>
        <v>+7.2%</v>
      </c>
    </row>
    <row r="99" spans="1:5" ht="15.95" customHeight="1" x14ac:dyDescent="0.25">
      <c r="A99" s="57" t="s">
        <v>1034</v>
      </c>
      <c r="B99" s="58">
        <v>2022</v>
      </c>
      <c r="C99" s="58">
        <v>12</v>
      </c>
      <c r="D99" s="100">
        <v>1641.63</v>
      </c>
      <c r="E99" s="213" t="str">
        <f t="shared" si="3"/>
        <v>+8.6%</v>
      </c>
    </row>
    <row r="100" spans="1:5" ht="15.95" customHeight="1" x14ac:dyDescent="0.25">
      <c r="A100" s="55" t="s">
        <v>1035</v>
      </c>
      <c r="B100" s="59">
        <v>2023</v>
      </c>
      <c r="C100" s="59">
        <v>1</v>
      </c>
      <c r="D100" s="95">
        <v>1386.49</v>
      </c>
      <c r="E100" s="99" t="str">
        <f t="shared" si="3"/>
        <v>+17.4%</v>
      </c>
    </row>
    <row r="101" spans="1:5" ht="15.95" customHeight="1" x14ac:dyDescent="0.25">
      <c r="A101" s="55" t="s">
        <v>1036</v>
      </c>
      <c r="B101" s="59">
        <v>2023</v>
      </c>
      <c r="C101" s="59">
        <v>2</v>
      </c>
      <c r="D101" s="95">
        <v>1381.09</v>
      </c>
      <c r="E101" s="99" t="str">
        <f t="shared" si="3"/>
        <v>+9.4%</v>
      </c>
    </row>
    <row r="102" spans="1:5" ht="15.95" customHeight="1" x14ac:dyDescent="0.25">
      <c r="A102" s="55" t="s">
        <v>1037</v>
      </c>
      <c r="B102" s="59">
        <v>2023</v>
      </c>
      <c r="C102" s="59">
        <v>3</v>
      </c>
      <c r="D102" s="95">
        <v>1665.83</v>
      </c>
      <c r="E102" s="99" t="str">
        <f t="shared" si="3"/>
        <v>+11.6%</v>
      </c>
    </row>
    <row r="103" spans="1:5" ht="15.95" customHeight="1" x14ac:dyDescent="0.25">
      <c r="A103" s="55" t="s">
        <v>1038</v>
      </c>
      <c r="B103" s="59">
        <v>2023</v>
      </c>
      <c r="C103" s="59">
        <v>4</v>
      </c>
      <c r="D103" s="95">
        <v>1551.37</v>
      </c>
      <c r="E103" s="99" t="str">
        <f t="shared" si="3"/>
        <v>+2.3%</v>
      </c>
    </row>
    <row r="104" spans="1:5" ht="15.95" customHeight="1" x14ac:dyDescent="0.25">
      <c r="A104" s="55" t="s">
        <v>1039</v>
      </c>
      <c r="B104" s="59">
        <v>2023</v>
      </c>
      <c r="C104" s="59">
        <v>5</v>
      </c>
      <c r="D104" s="95">
        <v>1811.86</v>
      </c>
      <c r="E104" s="99" t="str">
        <f t="shared" si="3"/>
        <v>+13.8%</v>
      </c>
    </row>
    <row r="105" spans="1:5" ht="15.95" customHeight="1" x14ac:dyDescent="0.25">
      <c r="A105" s="55" t="s">
        <v>1040</v>
      </c>
      <c r="B105" s="59">
        <v>2023</v>
      </c>
      <c r="C105" s="59">
        <v>6</v>
      </c>
      <c r="D105" s="95">
        <v>1861.33</v>
      </c>
      <c r="E105" s="99" t="str">
        <f t="shared" si="3"/>
        <v>+11.7%</v>
      </c>
    </row>
    <row r="106" spans="1:5" ht="15.95" customHeight="1" x14ac:dyDescent="0.25">
      <c r="A106" s="55" t="s">
        <v>1041</v>
      </c>
      <c r="B106" s="59">
        <v>2023</v>
      </c>
      <c r="C106" s="59">
        <v>7</v>
      </c>
      <c r="D106" s="95">
        <v>1642.85</v>
      </c>
      <c r="E106" s="99" t="str">
        <f t="shared" si="3"/>
        <v>+19.9%</v>
      </c>
    </row>
    <row r="107" spans="1:5" ht="15.95" customHeight="1" x14ac:dyDescent="0.25">
      <c r="A107" s="55" t="s">
        <v>1042</v>
      </c>
      <c r="B107" s="59">
        <v>2023</v>
      </c>
      <c r="C107" s="59">
        <v>8</v>
      </c>
      <c r="D107" s="95">
        <v>1773.35</v>
      </c>
      <c r="E107" s="99" t="str">
        <f t="shared" si="3"/>
        <v>+8.0%</v>
      </c>
    </row>
    <row r="108" spans="1:5" ht="15.95" customHeight="1" x14ac:dyDescent="0.25">
      <c r="A108" s="55" t="s">
        <v>1043</v>
      </c>
      <c r="B108" s="59">
        <v>2023</v>
      </c>
      <c r="C108" s="59">
        <v>9</v>
      </c>
      <c r="D108" s="95">
        <v>1699.46</v>
      </c>
      <c r="E108" s="99" t="str">
        <f t="shared" si="3"/>
        <v>+6.4%</v>
      </c>
    </row>
    <row r="109" spans="1:5" ht="15.95" customHeight="1" x14ac:dyDescent="0.25">
      <c r="A109" s="55" t="s">
        <v>1044</v>
      </c>
      <c r="B109" s="59">
        <v>2023</v>
      </c>
      <c r="C109" s="59">
        <v>10</v>
      </c>
      <c r="D109" s="95">
        <v>1650.73</v>
      </c>
      <c r="E109" s="99" t="str">
        <f t="shared" si="3"/>
        <v>+1.7%</v>
      </c>
    </row>
    <row r="110" spans="1:5" ht="15.95" customHeight="1" x14ac:dyDescent="0.25">
      <c r="A110" s="55" t="s">
        <v>1045</v>
      </c>
      <c r="B110" s="59">
        <v>2023</v>
      </c>
      <c r="C110" s="59">
        <v>11</v>
      </c>
      <c r="D110" s="95">
        <v>1614.58</v>
      </c>
      <c r="E110" s="99" t="str">
        <f t="shared" si="3"/>
        <v>+11.0%</v>
      </c>
    </row>
    <row r="111" spans="1:5" ht="15.95" customHeight="1" x14ac:dyDescent="0.25">
      <c r="A111" s="55" t="s">
        <v>1046</v>
      </c>
      <c r="B111" s="59">
        <v>2023</v>
      </c>
      <c r="C111" s="59">
        <v>12</v>
      </c>
      <c r="D111" s="95">
        <v>1765.04</v>
      </c>
      <c r="E111" s="99" t="str">
        <f t="shared" si="3"/>
        <v>+7.5%</v>
      </c>
    </row>
    <row r="112" spans="1:5" ht="15.95" customHeight="1" x14ac:dyDescent="0.25">
      <c r="A112" s="57" t="s">
        <v>1047</v>
      </c>
      <c r="B112" s="58">
        <v>2024</v>
      </c>
      <c r="C112" s="58">
        <v>1</v>
      </c>
      <c r="D112" s="100">
        <v>1468.03</v>
      </c>
      <c r="E112" s="213" t="str">
        <f t="shared" si="3"/>
        <v>+5.9%</v>
      </c>
    </row>
    <row r="113" spans="1:5" ht="15.95" customHeight="1" x14ac:dyDescent="0.25">
      <c r="A113" s="57" t="s">
        <v>1048</v>
      </c>
      <c r="B113" s="58">
        <v>2024</v>
      </c>
      <c r="C113" s="58">
        <v>2</v>
      </c>
      <c r="D113" s="100">
        <v>1527.94</v>
      </c>
      <c r="E113" s="213" t="str">
        <f t="shared" si="3"/>
        <v>+10.6%</v>
      </c>
    </row>
    <row r="114" spans="1:5" ht="15.95" customHeight="1" x14ac:dyDescent="0.25">
      <c r="A114" s="57" t="s">
        <v>1049</v>
      </c>
      <c r="B114" s="58">
        <v>2024</v>
      </c>
      <c r="C114" s="58">
        <v>3</v>
      </c>
      <c r="D114" s="100">
        <v>1686.63</v>
      </c>
      <c r="E114" s="213" t="str">
        <f t="shared" si="3"/>
        <v>+1.2%</v>
      </c>
    </row>
    <row r="115" spans="1:5" ht="15.95" customHeight="1" x14ac:dyDescent="0.25">
      <c r="A115" s="57" t="s">
        <v>1050</v>
      </c>
      <c r="B115" s="58">
        <v>2024</v>
      </c>
      <c r="C115" s="58">
        <v>4</v>
      </c>
      <c r="D115" s="100">
        <v>1848.06</v>
      </c>
      <c r="E115" s="213" t="str">
        <f t="shared" si="3"/>
        <v>+19.1%</v>
      </c>
    </row>
    <row r="116" spans="1:5" ht="15.95" customHeight="1" x14ac:dyDescent="0.25">
      <c r="A116" s="57" t="s">
        <v>1051</v>
      </c>
      <c r="B116" s="58">
        <v>2024</v>
      </c>
      <c r="C116" s="58">
        <v>5</v>
      </c>
      <c r="D116" s="100">
        <v>1980.08</v>
      </c>
      <c r="E116" s="213" t="str">
        <f t="shared" si="3"/>
        <v>+9.3%</v>
      </c>
    </row>
    <row r="117" spans="1:5" ht="15.95" customHeight="1" x14ac:dyDescent="0.25">
      <c r="A117" s="57" t="s">
        <v>1052</v>
      </c>
      <c r="B117" s="58">
        <v>2024</v>
      </c>
      <c r="C117" s="58">
        <v>6</v>
      </c>
      <c r="D117" s="100">
        <v>1760.63</v>
      </c>
      <c r="E117" s="213" t="str">
        <f t="shared" si="3"/>
        <v>-5.4%</v>
      </c>
    </row>
    <row r="118" spans="1:5" ht="15.95" customHeight="1" x14ac:dyDescent="0.25">
      <c r="A118" s="57" t="s">
        <v>1053</v>
      </c>
      <c r="B118" s="58">
        <v>2024</v>
      </c>
      <c r="C118" s="58">
        <v>7</v>
      </c>
      <c r="D118" s="100">
        <v>1819</v>
      </c>
      <c r="E118" s="213" t="str">
        <f t="shared" si="3"/>
        <v>+10.7%</v>
      </c>
    </row>
    <row r="119" spans="1:5" ht="15.95" customHeight="1" x14ac:dyDescent="0.25">
      <c r="A119" s="57" t="s">
        <v>1054</v>
      </c>
      <c r="B119" s="58">
        <v>2024</v>
      </c>
      <c r="C119" s="58">
        <v>8</v>
      </c>
      <c r="D119" s="100">
        <v>2020.55</v>
      </c>
      <c r="E119" s="213" t="str">
        <f t="shared" si="3"/>
        <v>+13.9%</v>
      </c>
    </row>
    <row r="120" spans="1:5" ht="15.95" customHeight="1" x14ac:dyDescent="0.25">
      <c r="A120" s="57" t="s">
        <v>1055</v>
      </c>
      <c r="B120" s="58">
        <v>2024</v>
      </c>
      <c r="C120" s="58">
        <v>9</v>
      </c>
      <c r="D120" s="100">
        <v>1724.07</v>
      </c>
      <c r="E120" s="213" t="str">
        <f t="shared" si="3"/>
        <v>+1.4%</v>
      </c>
    </row>
    <row r="121" spans="1:5" ht="15.95" customHeight="1" x14ac:dyDescent="0.25">
      <c r="A121" s="57" t="s">
        <v>1056</v>
      </c>
      <c r="B121" s="58">
        <v>2024</v>
      </c>
      <c r="C121" s="58">
        <v>10</v>
      </c>
      <c r="D121" s="100">
        <v>2000.41</v>
      </c>
      <c r="E121" s="213" t="str">
        <f t="shared" si="3"/>
        <v>+21.2%</v>
      </c>
    </row>
    <row r="122" spans="1:5" ht="15.95" customHeight="1" x14ac:dyDescent="0.25">
      <c r="A122" s="57" t="s">
        <v>1057</v>
      </c>
      <c r="B122" s="58">
        <v>2024</v>
      </c>
      <c r="C122" s="58">
        <v>11</v>
      </c>
      <c r="D122" s="100">
        <v>1733.97</v>
      </c>
      <c r="E122" s="213" t="str">
        <f t="shared" si="3"/>
        <v>+7.4%</v>
      </c>
    </row>
    <row r="123" spans="1:5" ht="15.95" customHeight="1" x14ac:dyDescent="0.25">
      <c r="A123" s="57" t="s">
        <v>1058</v>
      </c>
      <c r="B123" s="58">
        <v>2024</v>
      </c>
      <c r="C123" s="58">
        <v>12</v>
      </c>
      <c r="D123" s="100">
        <v>1940.82</v>
      </c>
      <c r="E123" s="213" t="str">
        <f t="shared" si="3"/>
        <v>+10.0%</v>
      </c>
    </row>
    <row r="124" spans="1:5" ht="15.95" customHeight="1" x14ac:dyDescent="0.25">
      <c r="A124" s="55" t="s">
        <v>1059</v>
      </c>
      <c r="B124" s="59">
        <v>2025</v>
      </c>
      <c r="C124" s="59">
        <v>1</v>
      </c>
      <c r="D124" s="95">
        <v>1817.56</v>
      </c>
      <c r="E124" s="99" t="str">
        <f t="shared" si="3"/>
        <v>+23.8%</v>
      </c>
    </row>
    <row r="125" spans="1:5" ht="15.95" customHeight="1" x14ac:dyDescent="0.25">
      <c r="A125" s="55" t="s">
        <v>1060</v>
      </c>
      <c r="B125" s="59">
        <v>2025</v>
      </c>
      <c r="C125" s="59">
        <v>2</v>
      </c>
      <c r="D125" s="95">
        <v>1821.36</v>
      </c>
      <c r="E125" s="99" t="str">
        <f t="shared" si="3"/>
        <v>+19.2%</v>
      </c>
    </row>
    <row r="126" spans="1:5" ht="15.95" customHeight="1" x14ac:dyDescent="0.25">
      <c r="A126" s="55" t="s">
        <v>1061</v>
      </c>
      <c r="B126" s="59">
        <v>2025</v>
      </c>
      <c r="C126" s="59">
        <v>3</v>
      </c>
      <c r="D126" s="95">
        <v>2003.74</v>
      </c>
      <c r="E126" s="99" t="str">
        <f t="shared" si="3"/>
        <v>+18.8%</v>
      </c>
    </row>
    <row r="127" spans="1:5" ht="15.95" customHeight="1" x14ac:dyDescent="0.25">
      <c r="A127" s="55" t="s">
        <v>1062</v>
      </c>
      <c r="B127" s="59">
        <v>2025</v>
      </c>
      <c r="C127" s="59">
        <v>4</v>
      </c>
      <c r="D127" s="95">
        <v>1984.61</v>
      </c>
      <c r="E127" s="99" t="str">
        <f t="shared" si="3"/>
        <v>+7.4%</v>
      </c>
    </row>
    <row r="128" spans="1:5" ht="15.95" customHeight="1" x14ac:dyDescent="0.25">
      <c r="A128" s="55" t="s">
        <v>1063</v>
      </c>
      <c r="B128" s="59">
        <v>2025</v>
      </c>
      <c r="C128" s="59">
        <v>5</v>
      </c>
      <c r="D128" s="95">
        <v>2281.08</v>
      </c>
      <c r="E128" s="99" t="str">
        <f t="shared" si="3"/>
        <v>+15.2%</v>
      </c>
    </row>
    <row r="129" spans="1:5" ht="15.95" customHeight="1" x14ac:dyDescent="0.25">
      <c r="A129" s="55" t="s">
        <v>599</v>
      </c>
      <c r="B129" s="59">
        <v>2025</v>
      </c>
      <c r="C129" s="59">
        <v>6</v>
      </c>
      <c r="D129" s="95">
        <v>2219.31</v>
      </c>
      <c r="E129" s="99" t="str">
        <f t="shared" si="3"/>
        <v>+26.1%</v>
      </c>
    </row>
    <row r="130" spans="1:5" ht="15.95" customHeight="1" x14ac:dyDescent="0.25">
      <c r="A130" s="55" t="s">
        <v>1064</v>
      </c>
      <c r="B130" s="59">
        <v>2025</v>
      </c>
      <c r="C130" s="59">
        <v>7</v>
      </c>
      <c r="D130" s="95">
        <v>2366.04</v>
      </c>
      <c r="E130" s="99" t="str">
        <f t="shared" si="3"/>
        <v>+30.1%</v>
      </c>
    </row>
    <row r="131" spans="1:5" ht="15.95" customHeight="1" x14ac:dyDescent="0.25">
      <c r="A131" s="55" t="s">
        <v>1065</v>
      </c>
      <c r="B131" s="59">
        <v>2025</v>
      </c>
      <c r="C131" s="59">
        <v>8</v>
      </c>
      <c r="D131" s="95">
        <v>2368.0100000000002</v>
      </c>
      <c r="E131" s="99" t="str">
        <f t="shared" si="3"/>
        <v>+17.2%</v>
      </c>
    </row>
    <row r="132" spans="1:5" ht="15.95" customHeight="1" x14ac:dyDescent="0.25">
      <c r="A132" s="55" t="s">
        <v>1066</v>
      </c>
      <c r="B132" s="59">
        <v>2025</v>
      </c>
      <c r="C132" s="59">
        <v>9</v>
      </c>
      <c r="D132" s="95">
        <v>2106.69</v>
      </c>
      <c r="E132" s="99" t="str">
        <f t="shared" si="3"/>
        <v>+22.2%</v>
      </c>
    </row>
    <row r="133" spans="1:5" ht="15.95" customHeight="1" x14ac:dyDescent="0.25">
      <c r="A133" s="55" t="s">
        <v>1067</v>
      </c>
      <c r="B133" s="59">
        <v>2025</v>
      </c>
      <c r="C133" s="59">
        <v>10</v>
      </c>
      <c r="D133" s="95">
        <v>2389.9699999999998</v>
      </c>
      <c r="E133" s="99" t="str">
        <f t="shared" si="3"/>
        <v>+19.5%</v>
      </c>
    </row>
    <row r="134" spans="1:5" ht="15.95" customHeight="1" x14ac:dyDescent="0.25">
      <c r="A134" s="55" t="s">
        <v>1068</v>
      </c>
      <c r="B134" s="59">
        <v>2025</v>
      </c>
      <c r="C134" s="59">
        <v>11</v>
      </c>
      <c r="D134" s="95">
        <v>1930.55</v>
      </c>
      <c r="E134" s="99" t="str">
        <f t="shared" si="3"/>
        <v>+11.3%</v>
      </c>
    </row>
    <row r="135" spans="1:5" ht="15.95" customHeight="1" x14ac:dyDescent="0.25">
      <c r="A135" s="55" t="s">
        <v>1069</v>
      </c>
      <c r="B135" s="59">
        <v>2025</v>
      </c>
      <c r="C135" s="59">
        <v>12</v>
      </c>
      <c r="D135" s="95">
        <v>2241.31</v>
      </c>
      <c r="E135" s="99" t="str">
        <f t="shared" si="3"/>
        <v>+15.5%</v>
      </c>
    </row>
    <row r="136" spans="1:5" ht="15.95" customHeight="1" x14ac:dyDescent="0.25">
      <c r="A136" s="57" t="s">
        <v>809</v>
      </c>
      <c r="B136" s="58">
        <v>2026</v>
      </c>
      <c r="C136" s="58">
        <v>1</v>
      </c>
      <c r="D136" s="100">
        <v>1954.71</v>
      </c>
      <c r="E136" s="213" t="str">
        <f t="shared" si="3"/>
        <v>+7.5%</v>
      </c>
    </row>
    <row r="137" spans="1:5" ht="15.95" customHeight="1" x14ac:dyDescent="0.25">
      <c r="A137" s="57" t="s">
        <v>828</v>
      </c>
      <c r="B137" s="58">
        <v>2026</v>
      </c>
      <c r="C137" s="58">
        <v>2</v>
      </c>
      <c r="D137" s="100">
        <v>1893.87</v>
      </c>
      <c r="E137" s="213" t="str">
        <f t="shared" si="3"/>
        <v>+4.0%</v>
      </c>
    </row>
    <row r="138" spans="1:5" ht="15.95" customHeight="1" x14ac:dyDescent="0.25">
      <c r="A138" s="57" t="s">
        <v>848</v>
      </c>
      <c r="B138" s="58">
        <v>2026</v>
      </c>
      <c r="C138" s="58">
        <v>3</v>
      </c>
      <c r="D138" s="100">
        <v>2441.8000000000002</v>
      </c>
      <c r="E138" s="213" t="str">
        <f t="shared" si="3"/>
        <v>+21.9%</v>
      </c>
    </row>
    <row r="139" spans="1:5" ht="15.95" customHeight="1" x14ac:dyDescent="0.25">
      <c r="A139" s="57" t="s">
        <v>1070</v>
      </c>
      <c r="B139" s="58">
        <v>2026</v>
      </c>
      <c r="C139" s="58">
        <v>4</v>
      </c>
      <c r="D139" s="100">
        <v>2141.1799999999998</v>
      </c>
      <c r="E139" s="213" t="str">
        <f t="shared" si="3"/>
        <v>+7.9%</v>
      </c>
    </row>
    <row r="141" spans="1:5" ht="18" customHeight="1" x14ac:dyDescent="0.25"/>
    <row r="142" spans="1:5" ht="30" customHeight="1" x14ac:dyDescent="0.25"/>
    <row r="143" spans="1:5" ht="18" customHeight="1" x14ac:dyDescent="0.25"/>
    <row r="144" spans="1:5"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32.1" customHeight="1" x14ac:dyDescent="0.25"/>
  </sheetData>
  <mergeCells count="4">
    <mergeCell ref="A1:J1"/>
    <mergeCell ref="A2:E2"/>
    <mergeCell ref="G2:J2"/>
    <mergeCell ref="G16:J17"/>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725B8-6CC2-4614-ABC6-DBD2DCC730B3}">
  <sheetPr codeName="Hoja14"/>
  <dimension ref="A1:H34"/>
  <sheetViews>
    <sheetView showGridLines="0" topLeftCell="A19" workbookViewId="0">
      <selection activeCell="A24" sqref="A24"/>
    </sheetView>
  </sheetViews>
  <sheetFormatPr baseColWidth="10" defaultColWidth="9.140625" defaultRowHeight="15" x14ac:dyDescent="0.25"/>
  <cols>
    <col min="1" max="1" width="16.42578125" customWidth="1"/>
    <col min="2" max="2" width="28" customWidth="1"/>
    <col min="3" max="3" width="18.5703125" customWidth="1"/>
    <col min="4" max="4" width="28" customWidth="1"/>
    <col min="5" max="5" width="56.5703125" customWidth="1"/>
    <col min="6" max="6" width="28" customWidth="1"/>
    <col min="7" max="7" width="16" customWidth="1"/>
    <col min="8" max="8" width="30.7109375" customWidth="1"/>
  </cols>
  <sheetData>
    <row r="1" spans="1:8" ht="27.95" customHeight="1" x14ac:dyDescent="0.25">
      <c r="A1" s="147" t="s">
        <v>1071</v>
      </c>
      <c r="B1" s="148"/>
      <c r="C1" s="148"/>
      <c r="D1" s="148"/>
      <c r="E1" s="148"/>
      <c r="F1" s="148"/>
      <c r="G1" s="148"/>
      <c r="H1" s="148"/>
    </row>
    <row r="2" spans="1:8" ht="15.95" customHeight="1" x14ac:dyDescent="0.25">
      <c r="A2" s="165" t="s">
        <v>1072</v>
      </c>
      <c r="B2" s="148"/>
      <c r="C2" s="148"/>
      <c r="D2" s="148"/>
      <c r="E2" s="148"/>
      <c r="F2" s="148"/>
      <c r="G2" s="148"/>
      <c r="H2" s="148"/>
    </row>
    <row r="3" spans="1:8" ht="18" customHeight="1" x14ac:dyDescent="0.25">
      <c r="A3" s="174" t="s">
        <v>1073</v>
      </c>
      <c r="B3" s="175"/>
      <c r="C3" s="175"/>
      <c r="D3" s="175"/>
      <c r="E3" s="175"/>
      <c r="F3" s="175"/>
    </row>
    <row r="4" spans="1:8" ht="30" customHeight="1" x14ac:dyDescent="0.25">
      <c r="A4" s="54" t="s">
        <v>208</v>
      </c>
      <c r="B4" s="54" t="s">
        <v>79</v>
      </c>
      <c r="C4" s="54" t="s">
        <v>1074</v>
      </c>
      <c r="D4" s="54" t="s">
        <v>1075</v>
      </c>
      <c r="E4" s="54" t="s">
        <v>99</v>
      </c>
      <c r="F4" s="54" t="s">
        <v>166</v>
      </c>
    </row>
    <row r="5" spans="1:8" ht="52.5" customHeight="1" x14ac:dyDescent="0.25">
      <c r="A5" s="58">
        <v>1</v>
      </c>
      <c r="B5" s="57" t="s">
        <v>81</v>
      </c>
      <c r="C5" s="101">
        <v>0.75</v>
      </c>
      <c r="D5" s="93">
        <v>18750000</v>
      </c>
      <c r="E5" s="57" t="s">
        <v>1076</v>
      </c>
      <c r="F5" s="58" t="s">
        <v>1077</v>
      </c>
    </row>
    <row r="6" spans="1:8" ht="52.5" customHeight="1" x14ac:dyDescent="0.25">
      <c r="A6" s="59">
        <v>2</v>
      </c>
      <c r="B6" s="55" t="s">
        <v>82</v>
      </c>
      <c r="C6" s="102">
        <v>7.4999999999999997E-2</v>
      </c>
      <c r="D6" s="77">
        <v>1875000</v>
      </c>
      <c r="E6" s="55" t="s">
        <v>1078</v>
      </c>
      <c r="F6" s="59" t="s">
        <v>1079</v>
      </c>
    </row>
    <row r="7" spans="1:8" ht="52.5" customHeight="1" x14ac:dyDescent="0.25">
      <c r="A7" s="58">
        <v>3</v>
      </c>
      <c r="B7" s="57" t="s">
        <v>83</v>
      </c>
      <c r="C7" s="101">
        <v>0.05</v>
      </c>
      <c r="D7" s="93">
        <v>1250000</v>
      </c>
      <c r="E7" s="57" t="s">
        <v>1080</v>
      </c>
      <c r="F7" s="58" t="s">
        <v>1077</v>
      </c>
    </row>
    <row r="8" spans="1:8" ht="52.5" customHeight="1" x14ac:dyDescent="0.25">
      <c r="A8" s="59">
        <v>4</v>
      </c>
      <c r="B8" s="55" t="s">
        <v>84</v>
      </c>
      <c r="C8" s="102">
        <v>0.125</v>
      </c>
      <c r="D8" s="77">
        <v>3125000</v>
      </c>
      <c r="E8" s="55" t="s">
        <v>1081</v>
      </c>
      <c r="F8" s="59" t="s">
        <v>1077</v>
      </c>
    </row>
    <row r="9" spans="1:8" ht="32.1" customHeight="1" x14ac:dyDescent="0.25">
      <c r="A9" s="176" t="s">
        <v>1082</v>
      </c>
      <c r="B9" s="171"/>
      <c r="C9" s="171"/>
      <c r="D9" s="171"/>
      <c r="E9" s="171"/>
      <c r="F9" s="177"/>
    </row>
    <row r="11" spans="1:8" ht="18" customHeight="1" x14ac:dyDescent="0.25">
      <c r="A11" s="169" t="s">
        <v>1083</v>
      </c>
      <c r="B11" s="170"/>
      <c r="C11" s="170"/>
      <c r="D11" s="170"/>
    </row>
    <row r="12" spans="1:8" ht="27.95" customHeight="1" x14ac:dyDescent="0.25">
      <c r="A12" s="54" t="s">
        <v>208</v>
      </c>
      <c r="B12" s="54" t="s">
        <v>1084</v>
      </c>
      <c r="C12" s="54" t="s">
        <v>86</v>
      </c>
      <c r="D12" s="54" t="s">
        <v>235</v>
      </c>
    </row>
    <row r="13" spans="1:8" ht="28.5" customHeight="1" x14ac:dyDescent="0.25">
      <c r="A13" s="58">
        <v>1</v>
      </c>
      <c r="B13" s="57" t="s">
        <v>1085</v>
      </c>
      <c r="C13" s="91">
        <v>0.4</v>
      </c>
      <c r="D13" s="57" t="s">
        <v>1086</v>
      </c>
    </row>
    <row r="14" spans="1:8" ht="28.5" customHeight="1" x14ac:dyDescent="0.25">
      <c r="A14" s="59">
        <v>2</v>
      </c>
      <c r="B14" s="55" t="s">
        <v>87</v>
      </c>
      <c r="C14" s="92">
        <v>0.25</v>
      </c>
      <c r="D14" s="55" t="s">
        <v>1087</v>
      </c>
    </row>
    <row r="15" spans="1:8" ht="28.5" customHeight="1" x14ac:dyDescent="0.25">
      <c r="A15" s="58">
        <v>3</v>
      </c>
      <c r="B15" s="57" t="s">
        <v>88</v>
      </c>
      <c r="C15" s="91">
        <v>0.2</v>
      </c>
      <c r="D15" s="57" t="s">
        <v>1088</v>
      </c>
    </row>
    <row r="16" spans="1:8" ht="28.5" customHeight="1" x14ac:dyDescent="0.25">
      <c r="A16" s="59">
        <v>4</v>
      </c>
      <c r="B16" s="55" t="s">
        <v>1089</v>
      </c>
      <c r="C16" s="92">
        <v>0.15</v>
      </c>
      <c r="D16" s="55" t="s">
        <v>1090</v>
      </c>
    </row>
    <row r="17" spans="1:8" x14ac:dyDescent="0.25">
      <c r="A17" s="81"/>
      <c r="B17" s="81" t="s">
        <v>187</v>
      </c>
      <c r="C17" s="103">
        <f>SUM(C13:C16)</f>
        <v>1</v>
      </c>
      <c r="D17" s="81"/>
    </row>
    <row r="18" spans="1:8" ht="32.1" customHeight="1" x14ac:dyDescent="0.25">
      <c r="A18" s="164" t="s">
        <v>1091</v>
      </c>
      <c r="B18" s="148"/>
      <c r="C18" s="148"/>
      <c r="D18" s="148"/>
    </row>
    <row r="20" spans="1:8" ht="32.25" customHeight="1" x14ac:dyDescent="0.25">
      <c r="A20" s="153" t="s">
        <v>1092</v>
      </c>
      <c r="B20" s="173"/>
      <c r="C20" s="153" t="s">
        <v>1093</v>
      </c>
      <c r="D20" s="173"/>
      <c r="E20" s="153" t="s">
        <v>1094</v>
      </c>
      <c r="F20" s="173"/>
      <c r="G20" s="153" t="s">
        <v>1095</v>
      </c>
      <c r="H20" s="173"/>
    </row>
    <row r="21" spans="1:8" ht="46.5" customHeight="1" x14ac:dyDescent="0.25">
      <c r="A21" s="54" t="s">
        <v>1096</v>
      </c>
      <c r="B21" s="54" t="s">
        <v>89</v>
      </c>
      <c r="C21" s="54" t="s">
        <v>1097</v>
      </c>
      <c r="D21" s="54" t="s">
        <v>89</v>
      </c>
      <c r="E21" s="54" t="s">
        <v>1098</v>
      </c>
      <c r="F21" s="54" t="s">
        <v>89</v>
      </c>
      <c r="G21" s="54" t="s">
        <v>1099</v>
      </c>
      <c r="H21" s="54" t="s">
        <v>89</v>
      </c>
    </row>
    <row r="22" spans="1:8" ht="53.25" customHeight="1" x14ac:dyDescent="0.25">
      <c r="A22" s="57" t="s">
        <v>1100</v>
      </c>
      <c r="B22" s="58">
        <v>25</v>
      </c>
      <c r="C22" s="57" t="s">
        <v>1101</v>
      </c>
      <c r="D22" s="58">
        <v>20</v>
      </c>
      <c r="E22" s="57" t="s">
        <v>1102</v>
      </c>
      <c r="F22" s="58">
        <v>45</v>
      </c>
      <c r="G22" s="57" t="s">
        <v>1103</v>
      </c>
      <c r="H22" s="58">
        <v>55</v>
      </c>
    </row>
    <row r="23" spans="1:8" ht="53.25" customHeight="1" x14ac:dyDescent="0.25">
      <c r="A23" s="55" t="s">
        <v>1104</v>
      </c>
      <c r="B23" s="59">
        <v>65</v>
      </c>
      <c r="C23" s="55" t="s">
        <v>1105</v>
      </c>
      <c r="D23" s="59">
        <v>85</v>
      </c>
      <c r="E23" s="55" t="s">
        <v>1106</v>
      </c>
      <c r="F23" s="59">
        <v>95</v>
      </c>
      <c r="G23" s="55" t="s">
        <v>1107</v>
      </c>
      <c r="H23" s="59">
        <v>80</v>
      </c>
    </row>
    <row r="24" spans="1:8" ht="53.25" customHeight="1" x14ac:dyDescent="0.25">
      <c r="A24" s="57" t="s">
        <v>1108</v>
      </c>
      <c r="B24" s="58">
        <v>100</v>
      </c>
      <c r="C24" s="57" t="s">
        <v>1109</v>
      </c>
      <c r="D24" s="58">
        <v>90</v>
      </c>
      <c r="E24" s="57" t="s">
        <v>1110</v>
      </c>
      <c r="F24" s="58">
        <v>100</v>
      </c>
      <c r="G24" s="57" t="s">
        <v>1111</v>
      </c>
      <c r="H24" s="58">
        <v>100</v>
      </c>
    </row>
    <row r="25" spans="1:8" ht="53.25" customHeight="1" x14ac:dyDescent="0.25">
      <c r="A25" s="55" t="s">
        <v>1112</v>
      </c>
      <c r="B25" s="59">
        <v>65</v>
      </c>
      <c r="C25" s="55" t="s">
        <v>1113</v>
      </c>
      <c r="D25" s="59">
        <v>100</v>
      </c>
      <c r="E25" s="164" t="s">
        <v>1114</v>
      </c>
      <c r="F25" s="173"/>
      <c r="G25" s="164" t="s">
        <v>1115</v>
      </c>
      <c r="H25" s="173"/>
    </row>
    <row r="26" spans="1:8" ht="48.75" customHeight="1" x14ac:dyDescent="0.25">
      <c r="A26" s="164" t="s">
        <v>1116</v>
      </c>
      <c r="B26" s="173"/>
      <c r="C26" s="164" t="s">
        <v>1117</v>
      </c>
      <c r="D26" s="173"/>
    </row>
    <row r="28" spans="1:8" ht="18" customHeight="1" x14ac:dyDescent="0.25">
      <c r="A28" s="169" t="s">
        <v>1118</v>
      </c>
      <c r="B28" s="170"/>
      <c r="C28" s="170"/>
      <c r="D28" s="170"/>
      <c r="E28" s="170"/>
      <c r="F28" s="170"/>
      <c r="G28" s="170"/>
      <c r="H28" s="170"/>
    </row>
    <row r="29" spans="1:8" ht="27.95" customHeight="1" x14ac:dyDescent="0.25">
      <c r="A29" s="54" t="s">
        <v>100</v>
      </c>
      <c r="B29" s="54" t="s">
        <v>92</v>
      </c>
      <c r="C29" s="54" t="s">
        <v>101</v>
      </c>
      <c r="D29" s="54" t="s">
        <v>238</v>
      </c>
      <c r="E29" s="54" t="s">
        <v>318</v>
      </c>
      <c r="F29" s="54" t="s">
        <v>383</v>
      </c>
      <c r="G29" s="54" t="s">
        <v>235</v>
      </c>
      <c r="H29" s="54" t="s">
        <v>1119</v>
      </c>
    </row>
    <row r="30" spans="1:8" ht="42" customHeight="1" x14ac:dyDescent="0.25">
      <c r="A30" s="104" t="s">
        <v>1120</v>
      </c>
      <c r="B30" s="65" t="s">
        <v>233</v>
      </c>
      <c r="C30" s="104" t="s">
        <v>93</v>
      </c>
      <c r="D30" s="64" t="s">
        <v>228</v>
      </c>
      <c r="E30" s="64" t="s">
        <v>1121</v>
      </c>
      <c r="F30" s="64" t="s">
        <v>231</v>
      </c>
      <c r="G30" s="64" t="s">
        <v>1122</v>
      </c>
      <c r="H30" s="64" t="s">
        <v>1123</v>
      </c>
    </row>
    <row r="31" spans="1:8" ht="42" customHeight="1" x14ac:dyDescent="0.25">
      <c r="A31" s="105" t="s">
        <v>1124</v>
      </c>
      <c r="B31" s="78" t="s">
        <v>229</v>
      </c>
      <c r="C31" s="105" t="s">
        <v>94</v>
      </c>
      <c r="D31" s="106" t="s">
        <v>1125</v>
      </c>
      <c r="E31" s="106" t="s">
        <v>1126</v>
      </c>
      <c r="F31" s="106" t="s">
        <v>220</v>
      </c>
      <c r="G31" s="106" t="s">
        <v>1127</v>
      </c>
      <c r="H31" s="106" t="s">
        <v>1128</v>
      </c>
    </row>
    <row r="32" spans="1:8" ht="42" customHeight="1" x14ac:dyDescent="0.25">
      <c r="A32" s="107" t="s">
        <v>1129</v>
      </c>
      <c r="B32" s="61" t="s">
        <v>223</v>
      </c>
      <c r="C32" s="107" t="s">
        <v>95</v>
      </c>
      <c r="D32" s="60" t="s">
        <v>222</v>
      </c>
      <c r="E32" s="60" t="s">
        <v>1130</v>
      </c>
      <c r="F32" s="60" t="s">
        <v>97</v>
      </c>
      <c r="G32" s="60" t="s">
        <v>1131</v>
      </c>
      <c r="H32" s="60" t="s">
        <v>1132</v>
      </c>
    </row>
    <row r="33" spans="1:8" ht="42" customHeight="1" x14ac:dyDescent="0.25">
      <c r="A33" s="108" t="s">
        <v>1133</v>
      </c>
      <c r="B33" s="63" t="s">
        <v>217</v>
      </c>
      <c r="C33" s="108" t="s">
        <v>96</v>
      </c>
      <c r="D33" s="62" t="s">
        <v>1134</v>
      </c>
      <c r="E33" s="62" t="s">
        <v>1135</v>
      </c>
      <c r="F33" s="62" t="s">
        <v>408</v>
      </c>
      <c r="G33" s="62" t="s">
        <v>1136</v>
      </c>
      <c r="H33" s="62" t="s">
        <v>1137</v>
      </c>
    </row>
    <row r="34" spans="1:8" ht="32.1" customHeight="1" x14ac:dyDescent="0.25">
      <c r="A34" s="164" t="s">
        <v>1138</v>
      </c>
      <c r="B34" s="148"/>
      <c r="C34" s="148"/>
      <c r="D34" s="148"/>
      <c r="E34" s="148"/>
      <c r="F34" s="148"/>
      <c r="G34" s="148"/>
      <c r="H34" s="148"/>
    </row>
  </sheetData>
  <mergeCells count="16">
    <mergeCell ref="A18:D18"/>
    <mergeCell ref="A1:H1"/>
    <mergeCell ref="A2:H2"/>
    <mergeCell ref="A3:F3"/>
    <mergeCell ref="A9:F9"/>
    <mergeCell ref="A11:D11"/>
    <mergeCell ref="A26:B26"/>
    <mergeCell ref="C26:D26"/>
    <mergeCell ref="A28:H28"/>
    <mergeCell ref="A34:H34"/>
    <mergeCell ref="A20:B20"/>
    <mergeCell ref="C20:D20"/>
    <mergeCell ref="E20:F20"/>
    <mergeCell ref="G20:H20"/>
    <mergeCell ref="E25:F25"/>
    <mergeCell ref="G25:H25"/>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403AB-3024-4348-809F-866C10B0F90D}">
  <sheetPr codeName="Hoja15"/>
  <dimension ref="A1:M122"/>
  <sheetViews>
    <sheetView showGridLines="0" topLeftCell="A114" workbookViewId="0">
      <selection activeCell="G122" sqref="G122:I122"/>
    </sheetView>
  </sheetViews>
  <sheetFormatPr baseColWidth="10" defaultColWidth="9.140625" defaultRowHeight="15" x14ac:dyDescent="0.25"/>
  <cols>
    <col min="1" max="1" width="7" customWidth="1"/>
    <col min="2" max="2" width="10" customWidth="1"/>
    <col min="3" max="3" width="18" customWidth="1"/>
    <col min="4" max="4" width="16" customWidth="1"/>
    <col min="5" max="5" width="26" customWidth="1"/>
    <col min="6" max="6" width="18" customWidth="1"/>
    <col min="7" max="7" width="10" customWidth="1"/>
    <col min="8" max="8" width="12" customWidth="1"/>
    <col min="9" max="10" width="14" customWidth="1"/>
    <col min="11" max="11" width="20.28515625" customWidth="1"/>
    <col min="12" max="12" width="14" customWidth="1"/>
    <col min="13" max="13" width="30.140625" customWidth="1"/>
  </cols>
  <sheetData>
    <row r="1" spans="1:13" ht="27.95" customHeight="1" x14ac:dyDescent="0.25">
      <c r="A1" s="147" t="s">
        <v>1139</v>
      </c>
      <c r="B1" s="148"/>
      <c r="C1" s="148"/>
      <c r="D1" s="148"/>
      <c r="E1" s="148"/>
      <c r="F1" s="148"/>
      <c r="G1" s="148"/>
      <c r="H1" s="148"/>
      <c r="I1" s="148"/>
      <c r="J1" s="148"/>
      <c r="K1" s="148"/>
      <c r="L1" s="148"/>
      <c r="M1" s="148"/>
    </row>
    <row r="2" spans="1:13" ht="15.95" customHeight="1" x14ac:dyDescent="0.25">
      <c r="A2" s="165" t="s">
        <v>1140</v>
      </c>
      <c r="B2" s="148"/>
      <c r="C2" s="148"/>
      <c r="D2" s="148"/>
      <c r="E2" s="148"/>
      <c r="F2" s="148"/>
      <c r="G2" s="148"/>
      <c r="H2" s="148"/>
      <c r="I2" s="148"/>
      <c r="J2" s="148"/>
      <c r="K2" s="148"/>
      <c r="L2" s="148"/>
      <c r="M2" s="148"/>
    </row>
    <row r="3" spans="1:13" ht="38.1" customHeight="1" x14ac:dyDescent="0.25">
      <c r="A3" s="54" t="s">
        <v>303</v>
      </c>
      <c r="B3" s="54" t="s">
        <v>79</v>
      </c>
      <c r="C3" s="54" t="s">
        <v>1141</v>
      </c>
      <c r="D3" s="54" t="s">
        <v>1142</v>
      </c>
      <c r="E3" s="54" t="s">
        <v>1143</v>
      </c>
      <c r="F3" s="54" t="s">
        <v>1144</v>
      </c>
      <c r="G3" s="54" t="s">
        <v>1145</v>
      </c>
      <c r="H3" s="54" t="s">
        <v>65</v>
      </c>
      <c r="I3" s="54" t="s">
        <v>1146</v>
      </c>
      <c r="J3" s="54" t="s">
        <v>487</v>
      </c>
      <c r="K3" s="54" t="s">
        <v>380</v>
      </c>
      <c r="L3" s="54" t="s">
        <v>1147</v>
      </c>
      <c r="M3" s="54" t="s">
        <v>1148</v>
      </c>
    </row>
    <row r="4" spans="1:13" ht="33.75" customHeight="1" x14ac:dyDescent="0.25">
      <c r="A4" s="75">
        <v>1</v>
      </c>
      <c r="B4" s="56" t="s">
        <v>81</v>
      </c>
      <c r="C4" s="56" t="s">
        <v>102</v>
      </c>
      <c r="D4" s="56" t="s">
        <v>1149</v>
      </c>
      <c r="E4" s="56" t="s">
        <v>12</v>
      </c>
      <c r="F4" s="56" t="s">
        <v>0</v>
      </c>
      <c r="G4" s="76">
        <v>650</v>
      </c>
      <c r="H4" s="56" t="s">
        <v>688</v>
      </c>
      <c r="I4" s="75">
        <v>2</v>
      </c>
      <c r="J4" s="109" t="str">
        <f>IF(K4="Normal","✔️","⚠️")</f>
        <v>✔️</v>
      </c>
      <c r="K4" s="110" t="str">
        <f>IF(AND(B4="México",I4&gt;=5,G4&gt;=496,G4&lt;=499),"Alta frecuencia + monto umbral",
 IF(AND(I4&gt;=5,G4&gt;=496,G4&lt;=499),"Alta frecuencia + monto umbral",
 IF(AND(B4="México",I4&gt;=5,COUNTIF($E$4:E4,E4)&gt;=2),"Múltiples remitentes + alta frecuencia",
 IF(AND(COUNTIF($E$4:E4,E4)&gt;=2,I4&lt;5),"Múltiples remitentes",
 IF(I4&gt;=5,"Alta frecuencia",
 IF(AND(G4&gt;=496,G4&lt;=499,I4&gt;=4),"Monto recurrente debajo de umbral",
 IF(AND(G4&gt;=496,G4&lt;=499),"Monto cercano a umbral USD 500",
 IF(COUNTIF($E$4:E4,E4)&gt;=2,"Variación de remitente",
 "Normal"))))))))</f>
        <v>Normal</v>
      </c>
      <c r="L4" s="61" t="str">
        <f>VLOOKUP(B4,'Caso 3 (Índice Exposición FT)'!$A$4:$I$7,9,FALSE)&amp;" ("&amp;VLOOKUP(B4,'Caso 3 (Índice Exposición FT)'!$A$4:$H$7,8,FALSE)&amp;")"</f>
        <v>ALTO (65)</v>
      </c>
      <c r="M4" s="56"/>
    </row>
    <row r="5" spans="1:13" ht="33.75" customHeight="1" x14ac:dyDescent="0.25">
      <c r="A5" s="59">
        <v>2</v>
      </c>
      <c r="B5" s="55" t="s">
        <v>82</v>
      </c>
      <c r="C5" s="55" t="s">
        <v>82</v>
      </c>
      <c r="D5" s="55" t="s">
        <v>103</v>
      </c>
      <c r="E5" s="55" t="s">
        <v>13</v>
      </c>
      <c r="F5" s="55" t="s">
        <v>1</v>
      </c>
      <c r="G5" s="77">
        <v>1850</v>
      </c>
      <c r="H5" s="55" t="s">
        <v>681</v>
      </c>
      <c r="I5" s="59">
        <v>6</v>
      </c>
      <c r="J5" s="109" t="str">
        <f t="shared" ref="J5:J68" si="0">IF(K5="Normal","✔️","⚠️")</f>
        <v>⚠️</v>
      </c>
      <c r="K5" s="110" t="str">
        <f>IF(AND(B5="México",I5&gt;=5,G5&gt;=496,G5&lt;=499),"Alta frecuencia + monto umbral",
 IF(AND(I5&gt;=5,G5&gt;=496,G5&lt;=499),"Alta frecuencia + monto umbral",
 IF(AND(B5="México",I5&gt;=5,COUNTIF($E$4:E5,E5)&gt;=2),"Múltiples remitentes + alta frecuencia",
 IF(AND(COUNTIF($E$4:E5,E5)&gt;=2,I5&lt;5),"Múltiples remitentes",
 IF(I5&gt;=5,"Alta frecuencia",
 IF(AND(G5&gt;=496,G5&lt;=499,I5&gt;=4),"Monto recurrente debajo de umbral",
 IF(AND(G5&gt;=496,G5&lt;=499),"Monto cercano a umbral USD 500",
 IF(COUNTIF($E$4:E5,E5)&gt;=2,"Variación de remitente",
 "Normal"))))))))</f>
        <v>Alta frecuencia</v>
      </c>
      <c r="L5" s="61" t="str">
        <f>VLOOKUP(B5,'Caso 3 (Índice Exposición FT)'!$A$4:$I$7,9,FALSE)&amp;" ("&amp;VLOOKUP(B5,'Caso 3 (Índice Exposición FT)'!$A$4:$H$7,8,FALSE)&amp;")"</f>
        <v>CRÍTICO (82)</v>
      </c>
      <c r="M5" s="55" t="s">
        <v>1150</v>
      </c>
    </row>
    <row r="6" spans="1:13" ht="33.75" customHeight="1" x14ac:dyDescent="0.25">
      <c r="A6" s="75">
        <v>3</v>
      </c>
      <c r="B6" s="56" t="s">
        <v>81</v>
      </c>
      <c r="C6" s="56" t="s">
        <v>102</v>
      </c>
      <c r="D6" s="56" t="s">
        <v>105</v>
      </c>
      <c r="E6" s="56" t="s">
        <v>14</v>
      </c>
      <c r="F6" s="56" t="s">
        <v>7</v>
      </c>
      <c r="G6" s="76">
        <v>499</v>
      </c>
      <c r="H6" s="56" t="s">
        <v>684</v>
      </c>
      <c r="I6" s="75">
        <v>5</v>
      </c>
      <c r="J6" s="109" t="str">
        <f t="shared" si="0"/>
        <v>⚠️</v>
      </c>
      <c r="K6" s="110" t="str">
        <f>IF(AND(B6="México",I6&gt;=5,G6&gt;=496,G6&lt;=499),"Alta frecuencia + monto umbral",
 IF(AND(I6&gt;=5,G6&gt;=496,G6&lt;=499),"Alta frecuencia + monto umbral",
 IF(AND(B6="México",I6&gt;=5,COUNTIF($E$4:E6,E6)&gt;=2),"Múltiples remitentes + alta frecuencia",
 IF(AND(COUNTIF($E$4:E6,E6)&gt;=2,I6&lt;5),"Múltiples remitentes",
 IF(I6&gt;=5,"Alta frecuencia",
 IF(AND(G6&gt;=496,G6&lt;=499,I6&gt;=4),"Monto recurrente debajo de umbral",
 IF(AND(G6&gt;=496,G6&lt;=499),"Monto cercano a umbral USD 500",
 IF(COUNTIF($E$4:E6,E6)&gt;=2,"Variación de remitente",
 "Normal"))))))))</f>
        <v>Alta frecuencia + monto umbral</v>
      </c>
      <c r="L6" s="61" t="str">
        <f>VLOOKUP(B6,'Caso 3 (Índice Exposición FT)'!$A$4:$I$7,9,FALSE)&amp;" ("&amp;VLOOKUP(B6,'Caso 3 (Índice Exposición FT)'!$A$4:$H$7,8,FALSE)&amp;")"</f>
        <v>ALTO (65)</v>
      </c>
      <c r="M6" s="56" t="s">
        <v>1151</v>
      </c>
    </row>
    <row r="7" spans="1:13" ht="33.75" customHeight="1" x14ac:dyDescent="0.25">
      <c r="A7" s="59">
        <v>4</v>
      </c>
      <c r="B7" s="55" t="s">
        <v>83</v>
      </c>
      <c r="C7" s="55" t="s">
        <v>83</v>
      </c>
      <c r="D7" s="55" t="s">
        <v>106</v>
      </c>
      <c r="E7" s="55" t="s">
        <v>15</v>
      </c>
      <c r="F7" s="55" t="s">
        <v>8</v>
      </c>
      <c r="G7" s="77">
        <v>920</v>
      </c>
      <c r="H7" s="55" t="s">
        <v>757</v>
      </c>
      <c r="I7" s="59">
        <v>1</v>
      </c>
      <c r="J7" s="109" t="str">
        <f t="shared" si="0"/>
        <v>✔️</v>
      </c>
      <c r="K7" s="110" t="str">
        <f>IF(AND(B7="México",I7&gt;=5,G7&gt;=496,G7&lt;=499),"Alta frecuencia + monto umbral",
 IF(AND(I7&gt;=5,G7&gt;=496,G7&lt;=499),"Alta frecuencia + monto umbral",
 IF(AND(B7="México",I7&gt;=5,COUNTIF($E$4:E7,E7)&gt;=2),"Múltiples remitentes + alta frecuencia",
 IF(AND(COUNTIF($E$4:E7,E7)&gt;=2,I7&lt;5),"Múltiples remitentes",
 IF(I7&gt;=5,"Alta frecuencia",
 IF(AND(G7&gt;=496,G7&lt;=499,I7&gt;=4),"Monto recurrente debajo de umbral",
 IF(AND(G7&gt;=496,G7&lt;=499),"Monto cercano a umbral USD 500",
 IF(COUNTIF($E$4:E7,E7)&gt;=2,"Variación de remitente",
 "Normal"))))))))</f>
        <v>Normal</v>
      </c>
      <c r="L7" s="61" t="str">
        <f>VLOOKUP(B7,'Caso 3 (Índice Exposición FT)'!$A$4:$I$7,9,FALSE)&amp;" ("&amp;VLOOKUP(B7,'Caso 3 (Índice Exposición FT)'!$A$4:$H$7,8,FALSE)&amp;")"</f>
        <v>MEDIO (39.5)</v>
      </c>
      <c r="M7" s="55"/>
    </row>
    <row r="8" spans="1:13" ht="33.75" customHeight="1" x14ac:dyDescent="0.25">
      <c r="A8" s="75">
        <v>5</v>
      </c>
      <c r="B8" s="56" t="s">
        <v>82</v>
      </c>
      <c r="C8" s="56" t="s">
        <v>82</v>
      </c>
      <c r="D8" s="56" t="s">
        <v>107</v>
      </c>
      <c r="E8" s="56" t="s">
        <v>16</v>
      </c>
      <c r="F8" s="56" t="s">
        <v>9</v>
      </c>
      <c r="G8" s="76">
        <v>2450</v>
      </c>
      <c r="H8" s="56" t="s">
        <v>797</v>
      </c>
      <c r="I8" s="75">
        <v>7</v>
      </c>
      <c r="J8" s="109" t="str">
        <f t="shared" si="0"/>
        <v>⚠️</v>
      </c>
      <c r="K8" s="110" t="str">
        <f>IF(AND(B8="México",I8&gt;=5,G8&gt;=496,G8&lt;=499),"Alta frecuencia + monto umbral",
 IF(AND(I8&gt;=5,G8&gt;=496,G8&lt;=499),"Alta frecuencia + monto umbral",
 IF(AND(B8="México",I8&gt;=5,COUNTIF($E$4:E8,E8)&gt;=2),"Múltiples remitentes + alta frecuencia",
 IF(AND(COUNTIF($E$4:E8,E8)&gt;=2,I8&lt;5),"Múltiples remitentes",
 IF(I8&gt;=5,"Alta frecuencia",
 IF(AND(G8&gt;=496,G8&lt;=499,I8&gt;=4),"Monto recurrente debajo de umbral",
 IF(AND(G8&gt;=496,G8&lt;=499),"Monto cercano a umbral USD 500",
 IF(COUNTIF($E$4:E8,E8)&gt;=2,"Variación de remitente",
 "Normal"))))))))</f>
        <v>Alta frecuencia</v>
      </c>
      <c r="L8" s="61" t="str">
        <f>VLOOKUP(B8,'Caso 3 (Índice Exposición FT)'!$A$4:$I$7,9,FALSE)&amp;" ("&amp;VLOOKUP(B8,'Caso 3 (Índice Exposición FT)'!$A$4:$H$7,8,FALSE)&amp;")"</f>
        <v>CRÍTICO (82)</v>
      </c>
      <c r="M8" s="56" t="s">
        <v>1152</v>
      </c>
    </row>
    <row r="9" spans="1:13" ht="33.75" customHeight="1" x14ac:dyDescent="0.25">
      <c r="A9" s="59">
        <v>6</v>
      </c>
      <c r="B9" s="55" t="s">
        <v>81</v>
      </c>
      <c r="C9" s="55" t="s">
        <v>102</v>
      </c>
      <c r="D9" s="55" t="s">
        <v>109</v>
      </c>
      <c r="E9" s="55" t="s">
        <v>17</v>
      </c>
      <c r="F9" s="55" t="s">
        <v>4</v>
      </c>
      <c r="G9" s="77">
        <v>780</v>
      </c>
      <c r="H9" s="55" t="s">
        <v>683</v>
      </c>
      <c r="I9" s="59">
        <v>3</v>
      </c>
      <c r="J9" s="109" t="str">
        <f t="shared" si="0"/>
        <v>✔️</v>
      </c>
      <c r="K9" s="110" t="str">
        <f>IF(AND(B9="México",I9&gt;=5,G9&gt;=496,G9&lt;=499),"Alta frecuencia + monto umbral",
 IF(AND(I9&gt;=5,G9&gt;=496,G9&lt;=499),"Alta frecuencia + monto umbral",
 IF(AND(B9="México",I9&gt;=5,COUNTIF($E$4:E9,E9)&gt;=2),"Múltiples remitentes + alta frecuencia",
 IF(AND(COUNTIF($E$4:E9,E9)&gt;=2,I9&lt;5),"Múltiples remitentes",
 IF(I9&gt;=5,"Alta frecuencia",
 IF(AND(G9&gt;=496,G9&lt;=499,I9&gt;=4),"Monto recurrente debajo de umbral",
 IF(AND(G9&gt;=496,G9&lt;=499),"Monto cercano a umbral USD 500",
 IF(COUNTIF($E$4:E9,E9)&gt;=2,"Variación de remitente",
 "Normal"))))))))</f>
        <v>Normal</v>
      </c>
      <c r="L9" s="61" t="str">
        <f>VLOOKUP(B9,'Caso 3 (Índice Exposición FT)'!$A$4:$I$7,9,FALSE)&amp;" ("&amp;VLOOKUP(B9,'Caso 3 (Índice Exposición FT)'!$A$4:$H$7,8,FALSE)&amp;")"</f>
        <v>ALTO (65)</v>
      </c>
      <c r="M9" s="55"/>
    </row>
    <row r="10" spans="1:13" ht="33.75" customHeight="1" x14ac:dyDescent="0.25">
      <c r="A10" s="75">
        <v>7</v>
      </c>
      <c r="B10" s="56" t="s">
        <v>82</v>
      </c>
      <c r="C10" s="56" t="s">
        <v>82</v>
      </c>
      <c r="D10" s="56" t="s">
        <v>110</v>
      </c>
      <c r="E10" s="56" t="s">
        <v>18</v>
      </c>
      <c r="F10" s="56" t="s">
        <v>0</v>
      </c>
      <c r="G10" s="76">
        <v>498</v>
      </c>
      <c r="H10" s="56" t="s">
        <v>690</v>
      </c>
      <c r="I10" s="75">
        <v>8</v>
      </c>
      <c r="J10" s="109" t="str">
        <f t="shared" si="0"/>
        <v>⚠️</v>
      </c>
      <c r="K10" s="110" t="str">
        <f>IF(AND(B10="México",I10&gt;=5,G10&gt;=496,G10&lt;=499),"Alta frecuencia + monto umbral",
 IF(AND(I10&gt;=5,G10&gt;=496,G10&lt;=499),"Alta frecuencia + monto umbral",
 IF(AND(B10="México",I10&gt;=5,COUNTIF($E$4:E10,E10)&gt;=2),"Múltiples remitentes + alta frecuencia",
 IF(AND(COUNTIF($E$4:E10,E10)&gt;=2,I10&lt;5),"Múltiples remitentes",
 IF(I10&gt;=5,"Alta frecuencia",
 IF(AND(G10&gt;=496,G10&lt;=499,I10&gt;=4),"Monto recurrente debajo de umbral",
 IF(AND(G10&gt;=496,G10&lt;=499),"Monto cercano a umbral USD 500",
 IF(COUNTIF($E$4:E10,E10)&gt;=2,"Variación de remitente",
 "Normal"))))))))</f>
        <v>Alta frecuencia + monto umbral</v>
      </c>
      <c r="L10" s="61" t="str">
        <f>VLOOKUP(B10,'Caso 3 (Índice Exposición FT)'!$A$4:$I$7,9,FALSE)&amp;" ("&amp;VLOOKUP(B10,'Caso 3 (Índice Exposición FT)'!$A$4:$H$7,8,FALSE)&amp;")"</f>
        <v>CRÍTICO (82)</v>
      </c>
      <c r="M10" s="56" t="s">
        <v>1151</v>
      </c>
    </row>
    <row r="11" spans="1:13" ht="33.75" customHeight="1" x14ac:dyDescent="0.25">
      <c r="A11" s="59">
        <v>8</v>
      </c>
      <c r="B11" s="55" t="s">
        <v>81</v>
      </c>
      <c r="C11" s="55" t="s">
        <v>102</v>
      </c>
      <c r="D11" s="55" t="s">
        <v>112</v>
      </c>
      <c r="E11" s="55" t="s">
        <v>10</v>
      </c>
      <c r="F11" s="55" t="s">
        <v>3</v>
      </c>
      <c r="G11" s="77">
        <v>1100</v>
      </c>
      <c r="H11" s="55" t="s">
        <v>761</v>
      </c>
      <c r="I11" s="59">
        <v>2</v>
      </c>
      <c r="J11" s="109" t="str">
        <f t="shared" si="0"/>
        <v>✔️</v>
      </c>
      <c r="K11" s="110" t="str">
        <f>IF(AND(B11="México",I11&gt;=5,G11&gt;=496,G11&lt;=499),"Alta frecuencia + monto umbral",
 IF(AND(I11&gt;=5,G11&gt;=496,G11&lt;=499),"Alta frecuencia + monto umbral",
 IF(AND(B11="México",I11&gt;=5,COUNTIF($E$4:E11,E11)&gt;=2),"Múltiples remitentes + alta frecuencia",
 IF(AND(COUNTIF($E$4:E11,E11)&gt;=2,I11&lt;5),"Múltiples remitentes",
 IF(I11&gt;=5,"Alta frecuencia",
 IF(AND(G11&gt;=496,G11&lt;=499,I11&gt;=4),"Monto recurrente debajo de umbral",
 IF(AND(G11&gt;=496,G11&lt;=499),"Monto cercano a umbral USD 500",
 IF(COUNTIF($E$4:E11,E11)&gt;=2,"Variación de remitente",
 "Normal"))))))))</f>
        <v>Normal</v>
      </c>
      <c r="L11" s="61" t="str">
        <f>VLOOKUP(B11,'Caso 3 (Índice Exposición FT)'!$A$4:$I$7,9,FALSE)&amp;" ("&amp;VLOOKUP(B11,'Caso 3 (Índice Exposición FT)'!$A$4:$H$7,8,FALSE)&amp;")"</f>
        <v>ALTO (65)</v>
      </c>
      <c r="M11" s="55"/>
    </row>
    <row r="12" spans="1:13" ht="33.75" customHeight="1" x14ac:dyDescent="0.25">
      <c r="A12" s="75">
        <v>9</v>
      </c>
      <c r="B12" s="56" t="s">
        <v>83</v>
      </c>
      <c r="C12" s="56" t="s">
        <v>83</v>
      </c>
      <c r="D12" s="56" t="s">
        <v>113</v>
      </c>
      <c r="E12" s="56" t="s">
        <v>19</v>
      </c>
      <c r="F12" s="56" t="s">
        <v>1</v>
      </c>
      <c r="G12" s="76">
        <v>1050</v>
      </c>
      <c r="H12" s="56" t="s">
        <v>800</v>
      </c>
      <c r="I12" s="75">
        <v>4</v>
      </c>
      <c r="J12" s="109" t="str">
        <f t="shared" si="0"/>
        <v>✔️</v>
      </c>
      <c r="K12" s="110" t="str">
        <f>IF(AND(B12="México",I12&gt;=5,G12&gt;=496,G12&lt;=499),"Alta frecuencia + monto umbral",
 IF(AND(I12&gt;=5,G12&gt;=496,G12&lt;=499),"Alta frecuencia + monto umbral",
 IF(AND(B12="México",I12&gt;=5,COUNTIF($E$4:E12,E12)&gt;=2),"Múltiples remitentes + alta frecuencia",
 IF(AND(COUNTIF($E$4:E12,E12)&gt;=2,I12&lt;5),"Múltiples remitentes",
 IF(I12&gt;=5,"Alta frecuencia",
 IF(AND(G12&gt;=496,G12&lt;=499,I12&gt;=4),"Monto recurrente debajo de umbral",
 IF(AND(G12&gt;=496,G12&lt;=499),"Monto cercano a umbral USD 500",
 IF(COUNTIF($E$4:E12,E12)&gt;=2,"Variación de remitente",
 "Normal"))))))))</f>
        <v>Normal</v>
      </c>
      <c r="L12" s="61" t="str">
        <f>VLOOKUP(B12,'Caso 3 (Índice Exposición FT)'!$A$4:$I$7,9,FALSE)&amp;" ("&amp;VLOOKUP(B12,'Caso 3 (Índice Exposición FT)'!$A$4:$H$7,8,FALSE)&amp;")"</f>
        <v>MEDIO (39.5)</v>
      </c>
      <c r="M12" s="56" t="s">
        <v>1153</v>
      </c>
    </row>
    <row r="13" spans="1:13" ht="33.75" customHeight="1" x14ac:dyDescent="0.25">
      <c r="A13" s="59">
        <v>10</v>
      </c>
      <c r="B13" s="55" t="s">
        <v>82</v>
      </c>
      <c r="C13" s="55" t="s">
        <v>82</v>
      </c>
      <c r="D13" s="55" t="s">
        <v>115</v>
      </c>
      <c r="E13" s="55" t="s">
        <v>20</v>
      </c>
      <c r="F13" s="55" t="s">
        <v>5</v>
      </c>
      <c r="G13" s="77">
        <v>2300</v>
      </c>
      <c r="H13" s="55" t="s">
        <v>802</v>
      </c>
      <c r="I13" s="59">
        <v>6</v>
      </c>
      <c r="J13" s="109" t="str">
        <f t="shared" si="0"/>
        <v>⚠️</v>
      </c>
      <c r="K13" s="110" t="str">
        <f>IF(AND(B13="México",I13&gt;=5,G13&gt;=496,G13&lt;=499),"Alta frecuencia + monto umbral",
 IF(AND(I13&gt;=5,G13&gt;=496,G13&lt;=499),"Alta frecuencia + monto umbral",
 IF(AND(B13="México",I13&gt;=5,COUNTIF($E$4:E13,E13)&gt;=2),"Múltiples remitentes + alta frecuencia",
 IF(AND(COUNTIF($E$4:E13,E13)&gt;=2,I13&lt;5),"Múltiples remitentes",
 IF(I13&gt;=5,"Alta frecuencia",
 IF(AND(G13&gt;=496,G13&lt;=499,I13&gt;=4),"Monto recurrente debajo de umbral",
 IF(AND(G13&gt;=496,G13&lt;=499),"Monto cercano a umbral USD 500",
 IF(COUNTIF($E$4:E13,E13)&gt;=2,"Variación de remitente",
 "Normal"))))))))</f>
        <v>Alta frecuencia</v>
      </c>
      <c r="L13" s="61" t="str">
        <f>VLOOKUP(B13,'Caso 3 (Índice Exposición FT)'!$A$4:$I$7,9,FALSE)&amp;" ("&amp;VLOOKUP(B13,'Caso 3 (Índice Exposición FT)'!$A$4:$H$7,8,FALSE)&amp;")"</f>
        <v>CRÍTICO (82)</v>
      </c>
      <c r="M13" s="55" t="s">
        <v>1150</v>
      </c>
    </row>
    <row r="14" spans="1:13" ht="33.75" customHeight="1" x14ac:dyDescent="0.25">
      <c r="A14" s="75">
        <v>11</v>
      </c>
      <c r="B14" s="56" t="s">
        <v>81</v>
      </c>
      <c r="C14" s="56" t="s">
        <v>102</v>
      </c>
      <c r="D14" s="56" t="s">
        <v>116</v>
      </c>
      <c r="E14" s="56" t="s">
        <v>21</v>
      </c>
      <c r="F14" s="56" t="s">
        <v>2</v>
      </c>
      <c r="G14" s="76">
        <v>720</v>
      </c>
      <c r="H14" s="56" t="s">
        <v>763</v>
      </c>
      <c r="I14" s="75">
        <v>3</v>
      </c>
      <c r="J14" s="109" t="str">
        <f t="shared" si="0"/>
        <v>✔️</v>
      </c>
      <c r="K14" s="110" t="str">
        <f>IF(AND(B14="México",I14&gt;=5,G14&gt;=496,G14&lt;=499),"Alta frecuencia + monto umbral",
 IF(AND(I14&gt;=5,G14&gt;=496,G14&lt;=499),"Alta frecuencia + monto umbral",
 IF(AND(B14="México",I14&gt;=5,COUNTIF($E$4:E14,E14)&gt;=2),"Múltiples remitentes + alta frecuencia",
 IF(AND(COUNTIF($E$4:E14,E14)&gt;=2,I14&lt;5),"Múltiples remitentes",
 IF(I14&gt;=5,"Alta frecuencia",
 IF(AND(G14&gt;=496,G14&lt;=499,I14&gt;=4),"Monto recurrente debajo de umbral",
 IF(AND(G14&gt;=496,G14&lt;=499),"Monto cercano a umbral USD 500",
 IF(COUNTIF($E$4:E14,E14)&gt;=2,"Variación de remitente",
 "Normal"))))))))</f>
        <v>Normal</v>
      </c>
      <c r="L14" s="61" t="str">
        <f>VLOOKUP(B14,'Caso 3 (Índice Exposición FT)'!$A$4:$I$7,9,FALSE)&amp;" ("&amp;VLOOKUP(B14,'Caso 3 (Índice Exposición FT)'!$A$4:$H$7,8,FALSE)&amp;")"</f>
        <v>ALTO (65)</v>
      </c>
      <c r="M14" s="56"/>
    </row>
    <row r="15" spans="1:13" ht="33.75" customHeight="1" x14ac:dyDescent="0.25">
      <c r="A15" s="59">
        <v>12</v>
      </c>
      <c r="B15" s="55" t="s">
        <v>81</v>
      </c>
      <c r="C15" s="55" t="s">
        <v>102</v>
      </c>
      <c r="D15" s="55" t="s">
        <v>1149</v>
      </c>
      <c r="E15" s="55" t="s">
        <v>22</v>
      </c>
      <c r="F15" s="55" t="s">
        <v>6</v>
      </c>
      <c r="G15" s="77">
        <v>499</v>
      </c>
      <c r="H15" s="55" t="s">
        <v>810</v>
      </c>
      <c r="I15" s="59">
        <v>5</v>
      </c>
      <c r="J15" s="109" t="str">
        <f t="shared" si="0"/>
        <v>⚠️</v>
      </c>
      <c r="K15" s="110" t="str">
        <f>IF(AND(B15="México",I15&gt;=5,G15&gt;=496,G15&lt;=499),"Alta frecuencia + monto umbral",
 IF(AND(I15&gt;=5,G15&gt;=496,G15&lt;=499),"Alta frecuencia + monto umbral",
 IF(AND(B15="México",I15&gt;=5,COUNTIF($E$4:E15,E15)&gt;=2),"Múltiples remitentes + alta frecuencia",
 IF(AND(COUNTIF($E$4:E15,E15)&gt;=2,I15&lt;5),"Múltiples remitentes",
 IF(I15&gt;=5,"Alta frecuencia",
 IF(AND(G15&gt;=496,G15&lt;=499,I15&gt;=4),"Monto recurrente debajo de umbral",
 IF(AND(G15&gt;=496,G15&lt;=499),"Monto cercano a umbral USD 500",
 IF(COUNTIF($E$4:E15,E15)&gt;=2,"Variación de remitente",
 "Normal"))))))))</f>
        <v>Alta frecuencia + monto umbral</v>
      </c>
      <c r="L15" s="61" t="str">
        <f>VLOOKUP(B15,'Caso 3 (Índice Exposición FT)'!$A$4:$I$7,9,FALSE)&amp;" ("&amp;VLOOKUP(B15,'Caso 3 (Índice Exposición FT)'!$A$4:$H$7,8,FALSE)&amp;")"</f>
        <v>ALTO (65)</v>
      </c>
      <c r="M15" s="55" t="s">
        <v>1151</v>
      </c>
    </row>
    <row r="16" spans="1:13" ht="33.75" customHeight="1" x14ac:dyDescent="0.25">
      <c r="A16" s="75">
        <v>13</v>
      </c>
      <c r="B16" s="56" t="s">
        <v>82</v>
      </c>
      <c r="C16" s="56" t="s">
        <v>82</v>
      </c>
      <c r="D16" s="56" t="s">
        <v>103</v>
      </c>
      <c r="E16" s="56" t="s">
        <v>23</v>
      </c>
      <c r="F16" s="56" t="s">
        <v>7</v>
      </c>
      <c r="G16" s="76">
        <v>1950</v>
      </c>
      <c r="H16" s="56" t="s">
        <v>811</v>
      </c>
      <c r="I16" s="75">
        <v>4</v>
      </c>
      <c r="J16" s="109" t="str">
        <f t="shared" si="0"/>
        <v>✔️</v>
      </c>
      <c r="K16" s="110" t="str">
        <f>IF(AND(B16="México",I16&gt;=5,G16&gt;=496,G16&lt;=499),"Alta frecuencia + monto umbral",
 IF(AND(I16&gt;=5,G16&gt;=496,G16&lt;=499),"Alta frecuencia + monto umbral",
 IF(AND(B16="México",I16&gt;=5,COUNTIF($E$4:E16,E16)&gt;=2),"Múltiples remitentes + alta frecuencia",
 IF(AND(COUNTIF($E$4:E16,E16)&gt;=2,I16&lt;5),"Múltiples remitentes",
 IF(I16&gt;=5,"Alta frecuencia",
 IF(AND(G16&gt;=496,G16&lt;=499,I16&gt;=4),"Monto recurrente debajo de umbral",
 IF(AND(G16&gt;=496,G16&lt;=499),"Monto cercano a umbral USD 500",
 IF(COUNTIF($E$4:E16,E16)&gt;=2,"Variación de remitente",
 "Normal"))))))))</f>
        <v>Normal</v>
      </c>
      <c r="L16" s="61" t="str">
        <f>VLOOKUP(B16,'Caso 3 (Índice Exposición FT)'!$A$4:$I$7,9,FALSE)&amp;" ("&amp;VLOOKUP(B16,'Caso 3 (Índice Exposición FT)'!$A$4:$H$7,8,FALSE)&amp;")"</f>
        <v>CRÍTICO (82)</v>
      </c>
      <c r="M16" s="56"/>
    </row>
    <row r="17" spans="1:13" ht="33.75" customHeight="1" x14ac:dyDescent="0.25">
      <c r="A17" s="59">
        <v>14</v>
      </c>
      <c r="B17" s="55" t="s">
        <v>81</v>
      </c>
      <c r="C17" s="55" t="s">
        <v>102</v>
      </c>
      <c r="D17" s="55" t="s">
        <v>105</v>
      </c>
      <c r="E17" s="55" t="s">
        <v>24</v>
      </c>
      <c r="F17" s="55" t="s">
        <v>0</v>
      </c>
      <c r="G17" s="77">
        <v>850</v>
      </c>
      <c r="H17" s="55" t="s">
        <v>812</v>
      </c>
      <c r="I17" s="59">
        <v>2</v>
      </c>
      <c r="J17" s="109" t="str">
        <f t="shared" si="0"/>
        <v>✔️</v>
      </c>
      <c r="K17" s="110" t="str">
        <f>IF(AND(B17="México",I17&gt;=5,G17&gt;=496,G17&lt;=499),"Alta frecuencia + monto umbral",
 IF(AND(I17&gt;=5,G17&gt;=496,G17&lt;=499),"Alta frecuencia + monto umbral",
 IF(AND(B17="México",I17&gt;=5,COUNTIF($E$4:E17,E17)&gt;=2),"Múltiples remitentes + alta frecuencia",
 IF(AND(COUNTIF($E$4:E17,E17)&gt;=2,I17&lt;5),"Múltiples remitentes",
 IF(I17&gt;=5,"Alta frecuencia",
 IF(AND(G17&gt;=496,G17&lt;=499,I17&gt;=4),"Monto recurrente debajo de umbral",
 IF(AND(G17&gt;=496,G17&lt;=499),"Monto cercano a umbral USD 500",
 IF(COUNTIF($E$4:E17,E17)&gt;=2,"Variación de remitente",
 "Normal"))))))))</f>
        <v>Normal</v>
      </c>
      <c r="L17" s="61" t="str">
        <f>VLOOKUP(B17,'Caso 3 (Índice Exposición FT)'!$A$4:$I$7,9,FALSE)&amp;" ("&amp;VLOOKUP(B17,'Caso 3 (Índice Exposición FT)'!$A$4:$H$7,8,FALSE)&amp;")"</f>
        <v>ALTO (65)</v>
      </c>
      <c r="M17" s="55"/>
    </row>
    <row r="18" spans="1:13" ht="33.75" customHeight="1" x14ac:dyDescent="0.25">
      <c r="A18" s="75">
        <v>15</v>
      </c>
      <c r="B18" s="56" t="s">
        <v>82</v>
      </c>
      <c r="C18" s="56" t="s">
        <v>82</v>
      </c>
      <c r="D18" s="56" t="s">
        <v>107</v>
      </c>
      <c r="E18" s="56" t="s">
        <v>25</v>
      </c>
      <c r="F18" s="56" t="s">
        <v>1</v>
      </c>
      <c r="G18" s="76">
        <v>2600</v>
      </c>
      <c r="H18" s="56" t="s">
        <v>695</v>
      </c>
      <c r="I18" s="75">
        <v>9</v>
      </c>
      <c r="J18" s="109" t="str">
        <f t="shared" si="0"/>
        <v>⚠️</v>
      </c>
      <c r="K18" s="110" t="str">
        <f>IF(AND(B18="México",I18&gt;=5,G18&gt;=496,G18&lt;=499),"Alta frecuencia + monto umbral",
 IF(AND(I18&gt;=5,G18&gt;=496,G18&lt;=499),"Alta frecuencia + monto umbral",
 IF(AND(B18="México",I18&gt;=5,COUNTIF($E$4:E18,E18)&gt;=2),"Múltiples remitentes + alta frecuencia",
 IF(AND(COUNTIF($E$4:E18,E18)&gt;=2,I18&lt;5),"Múltiples remitentes",
 IF(I18&gt;=5,"Alta frecuencia",
 IF(AND(G18&gt;=496,G18&lt;=499,I18&gt;=4),"Monto recurrente debajo de umbral",
 IF(AND(G18&gt;=496,G18&lt;=499),"Monto cercano a umbral USD 500",
 IF(COUNTIF($E$4:E18,E18)&gt;=2,"Variación de remitente",
 "Normal"))))))))</f>
        <v>Alta frecuencia</v>
      </c>
      <c r="L18" s="61" t="str">
        <f>VLOOKUP(B18,'Caso 3 (Índice Exposición FT)'!$A$4:$I$7,9,FALSE)&amp;" ("&amp;VLOOKUP(B18,'Caso 3 (Índice Exposición FT)'!$A$4:$H$7,8,FALSE)&amp;")"</f>
        <v>CRÍTICO (82)</v>
      </c>
      <c r="M18" s="56" t="s">
        <v>1152</v>
      </c>
    </row>
    <row r="19" spans="1:13" ht="33.75" customHeight="1" x14ac:dyDescent="0.25">
      <c r="A19" s="59">
        <v>16</v>
      </c>
      <c r="B19" s="55" t="s">
        <v>83</v>
      </c>
      <c r="C19" s="55" t="s">
        <v>83</v>
      </c>
      <c r="D19" s="55" t="s">
        <v>106</v>
      </c>
      <c r="E19" s="55" t="s">
        <v>26</v>
      </c>
      <c r="F19" s="55" t="s">
        <v>8</v>
      </c>
      <c r="G19" s="77">
        <v>980</v>
      </c>
      <c r="H19" s="55" t="s">
        <v>815</v>
      </c>
      <c r="I19" s="59">
        <v>3</v>
      </c>
      <c r="J19" s="109" t="str">
        <f t="shared" si="0"/>
        <v>✔️</v>
      </c>
      <c r="K19" s="110" t="str">
        <f>IF(AND(B19="México",I19&gt;=5,G19&gt;=496,G19&lt;=499),"Alta frecuencia + monto umbral",
 IF(AND(I19&gt;=5,G19&gt;=496,G19&lt;=499),"Alta frecuencia + monto umbral",
 IF(AND(B19="México",I19&gt;=5,COUNTIF($E$4:E19,E19)&gt;=2),"Múltiples remitentes + alta frecuencia",
 IF(AND(COUNTIF($E$4:E19,E19)&gt;=2,I19&lt;5),"Múltiples remitentes",
 IF(I19&gt;=5,"Alta frecuencia",
 IF(AND(G19&gt;=496,G19&lt;=499,I19&gt;=4),"Monto recurrente debajo de umbral",
 IF(AND(G19&gt;=496,G19&lt;=499),"Monto cercano a umbral USD 500",
 IF(COUNTIF($E$4:E19,E19)&gt;=2,"Variación de remitente",
 "Normal"))))))))</f>
        <v>Normal</v>
      </c>
      <c r="L19" s="61" t="str">
        <f>VLOOKUP(B19,'Caso 3 (Índice Exposición FT)'!$A$4:$I$7,9,FALSE)&amp;" ("&amp;VLOOKUP(B19,'Caso 3 (Índice Exposición FT)'!$A$4:$H$7,8,FALSE)&amp;")"</f>
        <v>MEDIO (39.5)</v>
      </c>
      <c r="M19" s="55"/>
    </row>
    <row r="20" spans="1:13" ht="33.75" customHeight="1" x14ac:dyDescent="0.25">
      <c r="A20" s="75">
        <v>17</v>
      </c>
      <c r="B20" s="56" t="s">
        <v>82</v>
      </c>
      <c r="C20" s="56" t="s">
        <v>82</v>
      </c>
      <c r="D20" s="56" t="s">
        <v>110</v>
      </c>
      <c r="E20" s="56" t="s">
        <v>27</v>
      </c>
      <c r="F20" s="56" t="s">
        <v>3</v>
      </c>
      <c r="G20" s="76">
        <v>497</v>
      </c>
      <c r="H20" s="56" t="s">
        <v>701</v>
      </c>
      <c r="I20" s="75">
        <v>7</v>
      </c>
      <c r="J20" s="109" t="str">
        <f t="shared" si="0"/>
        <v>⚠️</v>
      </c>
      <c r="K20" s="110" t="str">
        <f>IF(AND(B20="México",I20&gt;=5,G20&gt;=496,G20&lt;=499),"Alta frecuencia + monto umbral",
 IF(AND(I20&gt;=5,G20&gt;=496,G20&lt;=499),"Alta frecuencia + monto umbral",
 IF(AND(B20="México",I20&gt;=5,COUNTIF($E$4:E20,E20)&gt;=2),"Múltiples remitentes + alta frecuencia",
 IF(AND(COUNTIF($E$4:E20,E20)&gt;=2,I20&lt;5),"Múltiples remitentes",
 IF(I20&gt;=5,"Alta frecuencia",
 IF(AND(G20&gt;=496,G20&lt;=499,I20&gt;=4),"Monto recurrente debajo de umbral",
 IF(AND(G20&gt;=496,G20&lt;=499),"Monto cercano a umbral USD 500",
 IF(COUNTIF($E$4:E20,E20)&gt;=2,"Variación de remitente",
 "Normal"))))))))</f>
        <v>Alta frecuencia + monto umbral</v>
      </c>
      <c r="L20" s="61" t="str">
        <f>VLOOKUP(B20,'Caso 3 (Índice Exposición FT)'!$A$4:$I$7,9,FALSE)&amp;" ("&amp;VLOOKUP(B20,'Caso 3 (Índice Exposición FT)'!$A$4:$H$7,8,FALSE)&amp;")"</f>
        <v>CRÍTICO (82)</v>
      </c>
      <c r="M20" s="56" t="s">
        <v>1151</v>
      </c>
    </row>
    <row r="21" spans="1:13" ht="33.75" customHeight="1" x14ac:dyDescent="0.25">
      <c r="A21" s="59">
        <v>18</v>
      </c>
      <c r="B21" s="55" t="s">
        <v>81</v>
      </c>
      <c r="C21" s="55" t="s">
        <v>102</v>
      </c>
      <c r="D21" s="55" t="s">
        <v>112</v>
      </c>
      <c r="E21" s="55" t="s">
        <v>28</v>
      </c>
      <c r="F21" s="55" t="s">
        <v>9</v>
      </c>
      <c r="G21" s="77">
        <v>1200</v>
      </c>
      <c r="H21" s="55" t="s">
        <v>817</v>
      </c>
      <c r="I21" s="59">
        <v>2</v>
      </c>
      <c r="J21" s="109" t="str">
        <f t="shared" si="0"/>
        <v>✔️</v>
      </c>
      <c r="K21" s="110" t="str">
        <f>IF(AND(B21="México",I21&gt;=5,G21&gt;=496,G21&lt;=499),"Alta frecuencia + monto umbral",
 IF(AND(I21&gt;=5,G21&gt;=496,G21&lt;=499),"Alta frecuencia + monto umbral",
 IF(AND(B21="México",I21&gt;=5,COUNTIF($E$4:E21,E21)&gt;=2),"Múltiples remitentes + alta frecuencia",
 IF(AND(COUNTIF($E$4:E21,E21)&gt;=2,I21&lt;5),"Múltiples remitentes",
 IF(I21&gt;=5,"Alta frecuencia",
 IF(AND(G21&gt;=496,G21&lt;=499,I21&gt;=4),"Monto recurrente debajo de umbral",
 IF(AND(G21&gt;=496,G21&lt;=499),"Monto cercano a umbral USD 500",
 IF(COUNTIF($E$4:E21,E21)&gt;=2,"Variación de remitente",
 "Normal"))))))))</f>
        <v>Normal</v>
      </c>
      <c r="L21" s="61" t="str">
        <f>VLOOKUP(B21,'Caso 3 (Índice Exposición FT)'!$A$4:$I$7,9,FALSE)&amp;" ("&amp;VLOOKUP(B21,'Caso 3 (Índice Exposición FT)'!$A$4:$H$7,8,FALSE)&amp;")"</f>
        <v>ALTO (65)</v>
      </c>
      <c r="M21" s="55"/>
    </row>
    <row r="22" spans="1:13" ht="33.75" customHeight="1" x14ac:dyDescent="0.25">
      <c r="A22" s="75">
        <v>19</v>
      </c>
      <c r="B22" s="56" t="s">
        <v>81</v>
      </c>
      <c r="C22" s="56" t="s">
        <v>102</v>
      </c>
      <c r="D22" s="56" t="s">
        <v>109</v>
      </c>
      <c r="E22" s="56" t="s">
        <v>29</v>
      </c>
      <c r="F22" s="56" t="s">
        <v>5</v>
      </c>
      <c r="G22" s="76">
        <v>680</v>
      </c>
      <c r="H22" s="56" t="s">
        <v>767</v>
      </c>
      <c r="I22" s="75">
        <v>4</v>
      </c>
      <c r="J22" s="109" t="str">
        <f t="shared" si="0"/>
        <v>✔️</v>
      </c>
      <c r="K22" s="110" t="str">
        <f>IF(AND(B22="México",I22&gt;=5,G22&gt;=496,G22&lt;=499),"Alta frecuencia + monto umbral",
 IF(AND(I22&gt;=5,G22&gt;=496,G22&lt;=499),"Alta frecuencia + monto umbral",
 IF(AND(B22="México",I22&gt;=5,COUNTIF($E$4:E22,E22)&gt;=2),"Múltiples remitentes + alta frecuencia",
 IF(AND(COUNTIF($E$4:E22,E22)&gt;=2,I22&lt;5),"Múltiples remitentes",
 IF(I22&gt;=5,"Alta frecuencia",
 IF(AND(G22&gt;=496,G22&lt;=499,I22&gt;=4),"Monto recurrente debajo de umbral",
 IF(AND(G22&gt;=496,G22&lt;=499),"Monto cercano a umbral USD 500",
 IF(COUNTIF($E$4:E22,E22)&gt;=2,"Variación de remitente",
 "Normal"))))))))</f>
        <v>Normal</v>
      </c>
      <c r="L22" s="61" t="str">
        <f>VLOOKUP(B22,'Caso 3 (Índice Exposición FT)'!$A$4:$I$7,9,FALSE)&amp;" ("&amp;VLOOKUP(B22,'Caso 3 (Índice Exposición FT)'!$A$4:$H$7,8,FALSE)&amp;")"</f>
        <v>ALTO (65)</v>
      </c>
      <c r="M22" s="56"/>
    </row>
    <row r="23" spans="1:13" ht="33.75" customHeight="1" x14ac:dyDescent="0.25">
      <c r="A23" s="59">
        <v>20</v>
      </c>
      <c r="B23" s="55" t="s">
        <v>82</v>
      </c>
      <c r="C23" s="55" t="s">
        <v>82</v>
      </c>
      <c r="D23" s="55" t="s">
        <v>115</v>
      </c>
      <c r="E23" s="55" t="s">
        <v>30</v>
      </c>
      <c r="F23" s="55" t="s">
        <v>2</v>
      </c>
      <c r="G23" s="77">
        <v>2100</v>
      </c>
      <c r="H23" s="55" t="s">
        <v>823</v>
      </c>
      <c r="I23" s="59">
        <v>6</v>
      </c>
      <c r="J23" s="109" t="str">
        <f t="shared" si="0"/>
        <v>⚠️</v>
      </c>
      <c r="K23" s="110" t="str">
        <f>IF(AND(B23="México",I23&gt;=5,G23&gt;=496,G23&lt;=499),"Alta frecuencia + monto umbral",
 IF(AND(I23&gt;=5,G23&gt;=496,G23&lt;=499),"Alta frecuencia + monto umbral",
 IF(AND(B23="México",I23&gt;=5,COUNTIF($E$4:E23,E23)&gt;=2),"Múltiples remitentes + alta frecuencia",
 IF(AND(COUNTIF($E$4:E23,E23)&gt;=2,I23&lt;5),"Múltiples remitentes",
 IF(I23&gt;=5,"Alta frecuencia",
 IF(AND(G23&gt;=496,G23&lt;=499,I23&gt;=4),"Monto recurrente debajo de umbral",
 IF(AND(G23&gt;=496,G23&lt;=499),"Monto cercano a umbral USD 500",
 IF(COUNTIF($E$4:E23,E23)&gt;=2,"Variación de remitente",
 "Normal"))))))))</f>
        <v>Alta frecuencia</v>
      </c>
      <c r="L23" s="61" t="str">
        <f>VLOOKUP(B23,'Caso 3 (Índice Exposición FT)'!$A$4:$I$7,9,FALSE)&amp;" ("&amp;VLOOKUP(B23,'Caso 3 (Índice Exposición FT)'!$A$4:$H$7,8,FALSE)&amp;")"</f>
        <v>CRÍTICO (82)</v>
      </c>
      <c r="M23" s="55" t="s">
        <v>1150</v>
      </c>
    </row>
    <row r="24" spans="1:13" ht="33.75" customHeight="1" x14ac:dyDescent="0.25">
      <c r="A24" s="75">
        <v>21</v>
      </c>
      <c r="B24" s="56" t="s">
        <v>81</v>
      </c>
      <c r="C24" s="56" t="s">
        <v>102</v>
      </c>
      <c r="D24" s="56" t="s">
        <v>1149</v>
      </c>
      <c r="E24" s="56" t="s">
        <v>31</v>
      </c>
      <c r="F24" s="56" t="s">
        <v>7</v>
      </c>
      <c r="G24" s="76">
        <v>499</v>
      </c>
      <c r="H24" s="56" t="s">
        <v>825</v>
      </c>
      <c r="I24" s="75">
        <v>5</v>
      </c>
      <c r="J24" s="109" t="str">
        <f t="shared" si="0"/>
        <v>⚠️</v>
      </c>
      <c r="K24" s="110" t="str">
        <f>IF(AND(B24="México",I24&gt;=5,G24&gt;=496,G24&lt;=499),"Alta frecuencia + monto umbral",
 IF(AND(I24&gt;=5,G24&gt;=496,G24&lt;=499),"Alta frecuencia + monto umbral",
 IF(AND(B24="México",I24&gt;=5,COUNTIF($E$4:E24,E24)&gt;=2),"Múltiples remitentes + alta frecuencia",
 IF(AND(COUNTIF($E$4:E24,E24)&gt;=2,I24&lt;5),"Múltiples remitentes",
 IF(I24&gt;=5,"Alta frecuencia",
 IF(AND(G24&gt;=496,G24&lt;=499,I24&gt;=4),"Monto recurrente debajo de umbral",
 IF(AND(G24&gt;=496,G24&lt;=499),"Monto cercano a umbral USD 500",
 IF(COUNTIF($E$4:E24,E24)&gt;=2,"Variación de remitente",
 "Normal"))))))))</f>
        <v>Alta frecuencia + monto umbral</v>
      </c>
      <c r="L24" s="61" t="str">
        <f>VLOOKUP(B24,'Caso 3 (Índice Exposición FT)'!$A$4:$I$7,9,FALSE)&amp;" ("&amp;VLOOKUP(B24,'Caso 3 (Índice Exposición FT)'!$A$4:$H$7,8,FALSE)&amp;")"</f>
        <v>ALTO (65)</v>
      </c>
      <c r="M24" s="56" t="s">
        <v>1151</v>
      </c>
    </row>
    <row r="25" spans="1:13" ht="33.75" customHeight="1" x14ac:dyDescent="0.25">
      <c r="A25" s="59">
        <v>22</v>
      </c>
      <c r="B25" s="55" t="s">
        <v>83</v>
      </c>
      <c r="C25" s="55" t="s">
        <v>83</v>
      </c>
      <c r="D25" s="55" t="s">
        <v>113</v>
      </c>
      <c r="E25" s="55" t="s">
        <v>32</v>
      </c>
      <c r="F25" s="55" t="s">
        <v>0</v>
      </c>
      <c r="G25" s="77">
        <v>1150</v>
      </c>
      <c r="H25" s="55" t="s">
        <v>826</v>
      </c>
      <c r="I25" s="59">
        <v>2</v>
      </c>
      <c r="J25" s="109" t="str">
        <f t="shared" si="0"/>
        <v>✔️</v>
      </c>
      <c r="K25" s="110" t="str">
        <f>IF(AND(B25="México",I25&gt;=5,G25&gt;=496,G25&lt;=499),"Alta frecuencia + monto umbral",
 IF(AND(I25&gt;=5,G25&gt;=496,G25&lt;=499),"Alta frecuencia + monto umbral",
 IF(AND(B25="México",I25&gt;=5,COUNTIF($E$4:E25,E25)&gt;=2),"Múltiples remitentes + alta frecuencia",
 IF(AND(COUNTIF($E$4:E25,E25)&gt;=2,I25&lt;5),"Múltiples remitentes",
 IF(I25&gt;=5,"Alta frecuencia",
 IF(AND(G25&gt;=496,G25&lt;=499,I25&gt;=4),"Monto recurrente debajo de umbral",
 IF(AND(G25&gt;=496,G25&lt;=499),"Monto cercano a umbral USD 500",
 IF(COUNTIF($E$4:E25,E25)&gt;=2,"Variación de remitente",
 "Normal"))))))))</f>
        <v>Normal</v>
      </c>
      <c r="L25" s="61" t="str">
        <f>VLOOKUP(B25,'Caso 3 (Índice Exposición FT)'!$A$4:$I$7,9,FALSE)&amp;" ("&amp;VLOOKUP(B25,'Caso 3 (Índice Exposición FT)'!$A$4:$H$7,8,FALSE)&amp;")"</f>
        <v>MEDIO (39.5)</v>
      </c>
      <c r="M25" s="55"/>
    </row>
    <row r="26" spans="1:13" ht="33.75" customHeight="1" x14ac:dyDescent="0.25">
      <c r="A26" s="75">
        <v>23</v>
      </c>
      <c r="B26" s="56" t="s">
        <v>82</v>
      </c>
      <c r="C26" s="56" t="s">
        <v>82</v>
      </c>
      <c r="D26" s="56" t="s">
        <v>103</v>
      </c>
      <c r="E26" s="56" t="s">
        <v>33</v>
      </c>
      <c r="F26" s="56" t="s">
        <v>1</v>
      </c>
      <c r="G26" s="76">
        <v>2800</v>
      </c>
      <c r="H26" s="56" t="s">
        <v>708</v>
      </c>
      <c r="I26" s="75">
        <v>8</v>
      </c>
      <c r="J26" s="109" t="str">
        <f t="shared" si="0"/>
        <v>⚠️</v>
      </c>
      <c r="K26" s="110" t="str">
        <f>IF(AND(B26="México",I26&gt;=5,G26&gt;=496,G26&lt;=499),"Alta frecuencia + monto umbral",
 IF(AND(I26&gt;=5,G26&gt;=496,G26&lt;=499),"Alta frecuencia + monto umbral",
 IF(AND(B26="México",I26&gt;=5,COUNTIF($E$4:E26,E26)&gt;=2),"Múltiples remitentes + alta frecuencia",
 IF(AND(COUNTIF($E$4:E26,E26)&gt;=2,I26&lt;5),"Múltiples remitentes",
 IF(I26&gt;=5,"Alta frecuencia",
 IF(AND(G26&gt;=496,G26&lt;=499,I26&gt;=4),"Monto recurrente debajo de umbral",
 IF(AND(G26&gt;=496,G26&lt;=499),"Monto cercano a umbral USD 500",
 IF(COUNTIF($E$4:E26,E26)&gt;=2,"Variación de remitente",
 "Normal"))))))))</f>
        <v>Alta frecuencia</v>
      </c>
      <c r="L26" s="61" t="str">
        <f>VLOOKUP(B26,'Caso 3 (Índice Exposición FT)'!$A$4:$I$7,9,FALSE)&amp;" ("&amp;VLOOKUP(B26,'Caso 3 (Índice Exposición FT)'!$A$4:$H$7,8,FALSE)&amp;")"</f>
        <v>CRÍTICO (82)</v>
      </c>
      <c r="M26" s="56" t="s">
        <v>1152</v>
      </c>
    </row>
    <row r="27" spans="1:13" ht="33.75" customHeight="1" x14ac:dyDescent="0.25">
      <c r="A27" s="59">
        <v>24</v>
      </c>
      <c r="B27" s="55" t="s">
        <v>81</v>
      </c>
      <c r="C27" s="55" t="s">
        <v>102</v>
      </c>
      <c r="D27" s="55" t="s">
        <v>105</v>
      </c>
      <c r="E27" s="55" t="s">
        <v>34</v>
      </c>
      <c r="F27" s="55" t="s">
        <v>4</v>
      </c>
      <c r="G27" s="77">
        <v>750</v>
      </c>
      <c r="H27" s="55" t="s">
        <v>830</v>
      </c>
      <c r="I27" s="59">
        <v>3</v>
      </c>
      <c r="J27" s="109" t="str">
        <f t="shared" si="0"/>
        <v>✔️</v>
      </c>
      <c r="K27" s="110" t="str">
        <f>IF(AND(B27="México",I27&gt;=5,G27&gt;=496,G27&lt;=499),"Alta frecuencia + monto umbral",
 IF(AND(I27&gt;=5,G27&gt;=496,G27&lt;=499),"Alta frecuencia + monto umbral",
 IF(AND(B27="México",I27&gt;=5,COUNTIF($E$4:E27,E27)&gt;=2),"Múltiples remitentes + alta frecuencia",
 IF(AND(COUNTIF($E$4:E27,E27)&gt;=2,I27&lt;5),"Múltiples remitentes",
 IF(I27&gt;=5,"Alta frecuencia",
 IF(AND(G27&gt;=496,G27&lt;=499,I27&gt;=4),"Monto recurrente debajo de umbral",
 IF(AND(G27&gt;=496,G27&lt;=499),"Monto cercano a umbral USD 500",
 IF(COUNTIF($E$4:E27,E27)&gt;=2,"Variación de remitente",
 "Normal"))))))))</f>
        <v>Normal</v>
      </c>
      <c r="L27" s="61" t="str">
        <f>VLOOKUP(B27,'Caso 3 (Índice Exposición FT)'!$A$4:$I$7,9,FALSE)&amp;" ("&amp;VLOOKUP(B27,'Caso 3 (Índice Exposición FT)'!$A$4:$H$7,8,FALSE)&amp;")"</f>
        <v>ALTO (65)</v>
      </c>
      <c r="M27" s="55"/>
    </row>
    <row r="28" spans="1:13" ht="33.75" customHeight="1" x14ac:dyDescent="0.25">
      <c r="A28" s="75">
        <v>25</v>
      </c>
      <c r="B28" s="56" t="s">
        <v>82</v>
      </c>
      <c r="C28" s="56" t="s">
        <v>82</v>
      </c>
      <c r="D28" s="56" t="s">
        <v>107</v>
      </c>
      <c r="E28" s="56" t="s">
        <v>35</v>
      </c>
      <c r="F28" s="56" t="s">
        <v>6</v>
      </c>
      <c r="G28" s="76">
        <v>498</v>
      </c>
      <c r="H28" s="56" t="s">
        <v>769</v>
      </c>
      <c r="I28" s="75">
        <v>7</v>
      </c>
      <c r="J28" s="109" t="str">
        <f t="shared" si="0"/>
        <v>⚠️</v>
      </c>
      <c r="K28" s="110" t="str">
        <f>IF(AND(B28="México",I28&gt;=5,G28&gt;=496,G28&lt;=499),"Alta frecuencia + monto umbral",
 IF(AND(I28&gt;=5,G28&gt;=496,G28&lt;=499),"Alta frecuencia + monto umbral",
 IF(AND(B28="México",I28&gt;=5,COUNTIF($E$4:E28,E28)&gt;=2),"Múltiples remitentes + alta frecuencia",
 IF(AND(COUNTIF($E$4:E28,E28)&gt;=2,I28&lt;5),"Múltiples remitentes",
 IF(I28&gt;=5,"Alta frecuencia",
 IF(AND(G28&gt;=496,G28&lt;=499,I28&gt;=4),"Monto recurrente debajo de umbral",
 IF(AND(G28&gt;=496,G28&lt;=499),"Monto cercano a umbral USD 500",
 IF(COUNTIF($E$4:E28,E28)&gt;=2,"Variación de remitente",
 "Normal"))))))))</f>
        <v>Alta frecuencia + monto umbral</v>
      </c>
      <c r="L28" s="61" t="str">
        <f>VLOOKUP(B28,'Caso 3 (Índice Exposición FT)'!$A$4:$I$7,9,FALSE)&amp;" ("&amp;VLOOKUP(B28,'Caso 3 (Índice Exposición FT)'!$A$4:$H$7,8,FALSE)&amp;")"</f>
        <v>CRÍTICO (82)</v>
      </c>
      <c r="M28" s="56" t="s">
        <v>1151</v>
      </c>
    </row>
    <row r="29" spans="1:13" ht="33.75" customHeight="1" x14ac:dyDescent="0.25">
      <c r="A29" s="59">
        <v>26</v>
      </c>
      <c r="B29" s="55" t="s">
        <v>81</v>
      </c>
      <c r="C29" s="55" t="s">
        <v>102</v>
      </c>
      <c r="D29" s="55" t="s">
        <v>116</v>
      </c>
      <c r="E29" s="55" t="s">
        <v>36</v>
      </c>
      <c r="F29" s="55" t="s">
        <v>3</v>
      </c>
      <c r="G29" s="77">
        <v>920</v>
      </c>
      <c r="H29" s="55" t="s">
        <v>710</v>
      </c>
      <c r="I29" s="59">
        <v>4</v>
      </c>
      <c r="J29" s="109" t="str">
        <f t="shared" si="0"/>
        <v>✔️</v>
      </c>
      <c r="K29" s="110" t="str">
        <f>IF(AND(B29="México",I29&gt;=5,G29&gt;=496,G29&lt;=499),"Alta frecuencia + monto umbral",
 IF(AND(I29&gt;=5,G29&gt;=496,G29&lt;=499),"Alta frecuencia + monto umbral",
 IF(AND(B29="México",I29&gt;=5,COUNTIF($E$4:E29,E29)&gt;=2),"Múltiples remitentes + alta frecuencia",
 IF(AND(COUNTIF($E$4:E29,E29)&gt;=2,I29&lt;5),"Múltiples remitentes",
 IF(I29&gt;=5,"Alta frecuencia",
 IF(AND(G29&gt;=496,G29&lt;=499,I29&gt;=4),"Monto recurrente debajo de umbral",
 IF(AND(G29&gt;=496,G29&lt;=499),"Monto cercano a umbral USD 500",
 IF(COUNTIF($E$4:E29,E29)&gt;=2,"Variación de remitente",
 "Normal"))))))))</f>
        <v>Normal</v>
      </c>
      <c r="L29" s="61" t="str">
        <f>VLOOKUP(B29,'Caso 3 (Índice Exposición FT)'!$A$4:$I$7,9,FALSE)&amp;" ("&amp;VLOOKUP(B29,'Caso 3 (Índice Exposición FT)'!$A$4:$H$7,8,FALSE)&amp;")"</f>
        <v>ALTO (65)</v>
      </c>
      <c r="M29" s="55"/>
    </row>
    <row r="30" spans="1:13" ht="33.75" customHeight="1" x14ac:dyDescent="0.25">
      <c r="A30" s="75">
        <v>27</v>
      </c>
      <c r="B30" s="56" t="s">
        <v>82</v>
      </c>
      <c r="C30" s="56" t="s">
        <v>82</v>
      </c>
      <c r="D30" s="56" t="s">
        <v>110</v>
      </c>
      <c r="E30" s="56" t="s">
        <v>37</v>
      </c>
      <c r="F30" s="56" t="s">
        <v>9</v>
      </c>
      <c r="G30" s="76">
        <v>2350</v>
      </c>
      <c r="H30" s="56" t="s">
        <v>712</v>
      </c>
      <c r="I30" s="75">
        <v>6</v>
      </c>
      <c r="J30" s="109" t="str">
        <f t="shared" si="0"/>
        <v>⚠️</v>
      </c>
      <c r="K30" s="110" t="str">
        <f>IF(AND(B30="México",I30&gt;=5,G30&gt;=496,G30&lt;=499),"Alta frecuencia + monto umbral",
 IF(AND(I30&gt;=5,G30&gt;=496,G30&lt;=499),"Alta frecuencia + monto umbral",
 IF(AND(B30="México",I30&gt;=5,COUNTIF($E$4:E30,E30)&gt;=2),"Múltiples remitentes + alta frecuencia",
 IF(AND(COUNTIF($E$4:E30,E30)&gt;=2,I30&lt;5),"Múltiples remitentes",
 IF(I30&gt;=5,"Alta frecuencia",
 IF(AND(G30&gt;=496,G30&lt;=499,I30&gt;=4),"Monto recurrente debajo de umbral",
 IF(AND(G30&gt;=496,G30&lt;=499),"Monto cercano a umbral USD 500",
 IF(COUNTIF($E$4:E30,E30)&gt;=2,"Variación de remitente",
 "Normal"))))))))</f>
        <v>Alta frecuencia</v>
      </c>
      <c r="L30" s="61" t="str">
        <f>VLOOKUP(B30,'Caso 3 (Índice Exposición FT)'!$A$4:$I$7,9,FALSE)&amp;" ("&amp;VLOOKUP(B30,'Caso 3 (Índice Exposición FT)'!$A$4:$H$7,8,FALSE)&amp;")"</f>
        <v>CRÍTICO (82)</v>
      </c>
      <c r="M30" s="56" t="s">
        <v>1150</v>
      </c>
    </row>
    <row r="31" spans="1:13" ht="33.75" customHeight="1" x14ac:dyDescent="0.25">
      <c r="A31" s="59">
        <v>28</v>
      </c>
      <c r="B31" s="55" t="s">
        <v>81</v>
      </c>
      <c r="C31" s="55" t="s">
        <v>102</v>
      </c>
      <c r="D31" s="55" t="s">
        <v>112</v>
      </c>
      <c r="E31" s="55" t="s">
        <v>38</v>
      </c>
      <c r="F31" s="55" t="s">
        <v>0</v>
      </c>
      <c r="G31" s="77">
        <v>1300</v>
      </c>
      <c r="H31" s="55" t="s">
        <v>836</v>
      </c>
      <c r="I31" s="59">
        <v>2</v>
      </c>
      <c r="J31" s="109" t="str">
        <f t="shared" si="0"/>
        <v>✔️</v>
      </c>
      <c r="K31" s="110" t="str">
        <f>IF(AND(B31="México",I31&gt;=5,G31&gt;=496,G31&lt;=499),"Alta frecuencia + monto umbral",
 IF(AND(I31&gt;=5,G31&gt;=496,G31&lt;=499),"Alta frecuencia + monto umbral",
 IF(AND(B31="México",I31&gt;=5,COUNTIF($E$4:E31,E31)&gt;=2),"Múltiples remitentes + alta frecuencia",
 IF(AND(COUNTIF($E$4:E31,E31)&gt;=2,I31&lt;5),"Múltiples remitentes",
 IF(I31&gt;=5,"Alta frecuencia",
 IF(AND(G31&gt;=496,G31&lt;=499,I31&gt;=4),"Monto recurrente debajo de umbral",
 IF(AND(G31&gt;=496,G31&lt;=499),"Monto cercano a umbral USD 500",
 IF(COUNTIF($E$4:E31,E31)&gt;=2,"Variación de remitente",
 "Normal"))))))))</f>
        <v>Normal</v>
      </c>
      <c r="L31" s="61" t="str">
        <f>VLOOKUP(B31,'Caso 3 (Índice Exposición FT)'!$A$4:$I$7,9,FALSE)&amp;" ("&amp;VLOOKUP(B31,'Caso 3 (Índice Exposición FT)'!$A$4:$H$7,8,FALSE)&amp;")"</f>
        <v>ALTO (65)</v>
      </c>
      <c r="M31" s="55"/>
    </row>
    <row r="32" spans="1:13" ht="33.75" customHeight="1" x14ac:dyDescent="0.25">
      <c r="A32" s="75">
        <v>29</v>
      </c>
      <c r="B32" s="56" t="s">
        <v>83</v>
      </c>
      <c r="C32" s="56" t="s">
        <v>83</v>
      </c>
      <c r="D32" s="56" t="s">
        <v>106</v>
      </c>
      <c r="E32" s="56" t="s">
        <v>39</v>
      </c>
      <c r="F32" s="56" t="s">
        <v>1</v>
      </c>
      <c r="G32" s="76">
        <v>1080</v>
      </c>
      <c r="H32" s="56" t="s">
        <v>713</v>
      </c>
      <c r="I32" s="75">
        <v>3</v>
      </c>
      <c r="J32" s="109" t="str">
        <f t="shared" si="0"/>
        <v>✔️</v>
      </c>
      <c r="K32" s="110" t="str">
        <f>IF(AND(B32="México",I32&gt;=5,G32&gt;=496,G32&lt;=499),"Alta frecuencia + monto umbral",
 IF(AND(I32&gt;=5,G32&gt;=496,G32&lt;=499),"Alta frecuencia + monto umbral",
 IF(AND(B32="México",I32&gt;=5,COUNTIF($E$4:E32,E32)&gt;=2),"Múltiples remitentes + alta frecuencia",
 IF(AND(COUNTIF($E$4:E32,E32)&gt;=2,I32&lt;5),"Múltiples remitentes",
 IF(I32&gt;=5,"Alta frecuencia",
 IF(AND(G32&gt;=496,G32&lt;=499,I32&gt;=4),"Monto recurrente debajo de umbral",
 IF(AND(G32&gt;=496,G32&lt;=499),"Monto cercano a umbral USD 500",
 IF(COUNTIF($E$4:E32,E32)&gt;=2,"Variación de remitente",
 "Normal"))))))))</f>
        <v>Normal</v>
      </c>
      <c r="L32" s="61" t="str">
        <f>VLOOKUP(B32,'Caso 3 (Índice Exposición FT)'!$A$4:$I$7,9,FALSE)&amp;" ("&amp;VLOOKUP(B32,'Caso 3 (Índice Exposición FT)'!$A$4:$H$7,8,FALSE)&amp;")"</f>
        <v>MEDIO (39.5)</v>
      </c>
      <c r="M32" s="56"/>
    </row>
    <row r="33" spans="1:13" ht="33.75" customHeight="1" x14ac:dyDescent="0.25">
      <c r="A33" s="59">
        <v>30</v>
      </c>
      <c r="B33" s="55" t="s">
        <v>82</v>
      </c>
      <c r="C33" s="55" t="s">
        <v>82</v>
      </c>
      <c r="D33" s="55" t="s">
        <v>115</v>
      </c>
      <c r="E33" s="55" t="s">
        <v>40</v>
      </c>
      <c r="F33" s="55" t="s">
        <v>8</v>
      </c>
      <c r="G33" s="77">
        <v>2550</v>
      </c>
      <c r="H33" s="55" t="s">
        <v>714</v>
      </c>
      <c r="I33" s="59">
        <v>9</v>
      </c>
      <c r="J33" s="109" t="str">
        <f t="shared" si="0"/>
        <v>⚠️</v>
      </c>
      <c r="K33" s="110" t="str">
        <f>IF(AND(B33="México",I33&gt;=5,G33&gt;=496,G33&lt;=499),"Alta frecuencia + monto umbral",
 IF(AND(I33&gt;=5,G33&gt;=496,G33&lt;=499),"Alta frecuencia + monto umbral",
 IF(AND(B33="México",I33&gt;=5,COUNTIF($E$4:E33,E33)&gt;=2),"Múltiples remitentes + alta frecuencia",
 IF(AND(COUNTIF($E$4:E33,E33)&gt;=2,I33&lt;5),"Múltiples remitentes",
 IF(I33&gt;=5,"Alta frecuencia",
 IF(AND(G33&gt;=496,G33&lt;=499,I33&gt;=4),"Monto recurrente debajo de umbral",
 IF(AND(G33&gt;=496,G33&lt;=499),"Monto cercano a umbral USD 500",
 IF(COUNTIF($E$4:E33,E33)&gt;=2,"Variación de remitente",
 "Normal"))))))))</f>
        <v>Alta frecuencia</v>
      </c>
      <c r="L33" s="61" t="str">
        <f>VLOOKUP(B33,'Caso 3 (Índice Exposición FT)'!$A$4:$I$7,9,FALSE)&amp;" ("&amp;VLOOKUP(B33,'Caso 3 (Índice Exposición FT)'!$A$4:$H$7,8,FALSE)&amp;")"</f>
        <v>CRÍTICO (82)</v>
      </c>
      <c r="M33" s="55" t="s">
        <v>1152</v>
      </c>
    </row>
    <row r="34" spans="1:13" ht="33.75" customHeight="1" x14ac:dyDescent="0.25">
      <c r="A34" s="75">
        <v>31</v>
      </c>
      <c r="B34" s="56" t="s">
        <v>81</v>
      </c>
      <c r="C34" s="56" t="s">
        <v>102</v>
      </c>
      <c r="D34" s="56" t="s">
        <v>1149</v>
      </c>
      <c r="E34" s="56" t="s">
        <v>41</v>
      </c>
      <c r="F34" s="56" t="s">
        <v>5</v>
      </c>
      <c r="G34" s="76">
        <v>1450</v>
      </c>
      <c r="H34" s="56" t="s">
        <v>772</v>
      </c>
      <c r="I34" s="75">
        <v>3</v>
      </c>
      <c r="J34" s="109" t="str">
        <f t="shared" si="0"/>
        <v>✔️</v>
      </c>
      <c r="K34" s="110" t="str">
        <f>IF(AND(B34="México",I34&gt;=5,G34&gt;=496,G34&lt;=499),"Alta frecuencia + monto umbral",
 IF(AND(I34&gt;=5,G34&gt;=496,G34&lt;=499),"Alta frecuencia + monto umbral",
 IF(AND(B34="México",I34&gt;=5,COUNTIF($E$4:E34,E34)&gt;=2),"Múltiples remitentes + alta frecuencia",
 IF(AND(COUNTIF($E$4:E34,E34)&gt;=2,I34&lt;5),"Múltiples remitentes",
 IF(I34&gt;=5,"Alta frecuencia",
 IF(AND(G34&gt;=496,G34&lt;=499,I34&gt;=4),"Monto recurrente debajo de umbral",
 IF(AND(G34&gt;=496,G34&lt;=499),"Monto cercano a umbral USD 500",
 IF(COUNTIF($E$4:E34,E34)&gt;=2,"Variación de remitente",
 "Normal"))))))))</f>
        <v>Normal</v>
      </c>
      <c r="L34" s="61" t="str">
        <f>VLOOKUP(B34,'Caso 3 (Índice Exposición FT)'!$A$4:$I$7,9,FALSE)&amp;" ("&amp;VLOOKUP(B34,'Caso 3 (Índice Exposición FT)'!$A$4:$H$7,8,FALSE)&amp;")"</f>
        <v>ALTO (65)</v>
      </c>
      <c r="M34" s="56"/>
    </row>
    <row r="35" spans="1:13" ht="33.75" customHeight="1" x14ac:dyDescent="0.25">
      <c r="A35" s="59">
        <v>32</v>
      </c>
      <c r="B35" s="55" t="s">
        <v>82</v>
      </c>
      <c r="C35" s="55" t="s">
        <v>82</v>
      </c>
      <c r="D35" s="55" t="s">
        <v>103</v>
      </c>
      <c r="E35" s="55" t="s">
        <v>11</v>
      </c>
      <c r="F35" s="55" t="s">
        <v>2</v>
      </c>
      <c r="G35" s="77">
        <v>2150</v>
      </c>
      <c r="H35" s="55" t="s">
        <v>841</v>
      </c>
      <c r="I35" s="59">
        <v>5</v>
      </c>
      <c r="J35" s="109" t="str">
        <f t="shared" si="0"/>
        <v>⚠️</v>
      </c>
      <c r="K35" s="110" t="str">
        <f>IF(AND(B35="México",I35&gt;=5,G35&gt;=496,G35&lt;=499),"Alta frecuencia + monto umbral",
 IF(AND(I35&gt;=5,G35&gt;=496,G35&lt;=499),"Alta frecuencia + monto umbral",
 IF(AND(B35="México",I35&gt;=5,COUNTIF($E$4:E35,E35)&gt;=2),"Múltiples remitentes + alta frecuencia",
 IF(AND(COUNTIF($E$4:E35,E35)&gt;=2,I35&lt;5),"Múltiples remitentes",
 IF(I35&gt;=5,"Alta frecuencia",
 IF(AND(G35&gt;=496,G35&lt;=499,I35&gt;=4),"Monto recurrente debajo de umbral",
 IF(AND(G35&gt;=496,G35&lt;=499),"Monto cercano a umbral USD 500",
 IF(COUNTIF($E$4:E35,E35)&gt;=2,"Variación de remitente",
 "Normal"))))))))</f>
        <v>Alta frecuencia</v>
      </c>
      <c r="L35" s="61" t="str">
        <f>VLOOKUP(B35,'Caso 3 (Índice Exposición FT)'!$A$4:$I$7,9,FALSE)&amp;" ("&amp;VLOOKUP(B35,'Caso 3 (Índice Exposición FT)'!$A$4:$H$7,8,FALSE)&amp;")"</f>
        <v>CRÍTICO (82)</v>
      </c>
      <c r="M35" s="55" t="s">
        <v>1150</v>
      </c>
    </row>
    <row r="36" spans="1:13" ht="33.75" customHeight="1" x14ac:dyDescent="0.25">
      <c r="A36" s="75">
        <v>33</v>
      </c>
      <c r="B36" s="56" t="s">
        <v>81</v>
      </c>
      <c r="C36" s="56" t="s">
        <v>102</v>
      </c>
      <c r="D36" s="56" t="s">
        <v>105</v>
      </c>
      <c r="E36" s="56" t="s">
        <v>42</v>
      </c>
      <c r="F36" s="56" t="s">
        <v>7</v>
      </c>
      <c r="G36" s="76">
        <v>499</v>
      </c>
      <c r="H36" s="56" t="s">
        <v>717</v>
      </c>
      <c r="I36" s="75">
        <v>6</v>
      </c>
      <c r="J36" s="109" t="str">
        <f t="shared" si="0"/>
        <v>⚠️</v>
      </c>
      <c r="K36" s="110" t="str">
        <f>IF(AND(B36="México",I36&gt;=5,G36&gt;=496,G36&lt;=499),"Alta frecuencia + monto umbral",
 IF(AND(I36&gt;=5,G36&gt;=496,G36&lt;=499),"Alta frecuencia + monto umbral",
 IF(AND(B36="México",I36&gt;=5,COUNTIF($E$4:E36,E36)&gt;=2),"Múltiples remitentes + alta frecuencia",
 IF(AND(COUNTIF($E$4:E36,E36)&gt;=2,I36&lt;5),"Múltiples remitentes",
 IF(I36&gt;=5,"Alta frecuencia",
 IF(AND(G36&gt;=496,G36&lt;=499,I36&gt;=4),"Monto recurrente debajo de umbral",
 IF(AND(G36&gt;=496,G36&lt;=499),"Monto cercano a umbral USD 500",
 IF(COUNTIF($E$4:E36,E36)&gt;=2,"Variación de remitente",
 "Normal"))))))))</f>
        <v>Alta frecuencia + monto umbral</v>
      </c>
      <c r="L36" s="61" t="str">
        <f>VLOOKUP(B36,'Caso 3 (Índice Exposición FT)'!$A$4:$I$7,9,FALSE)&amp;" ("&amp;VLOOKUP(B36,'Caso 3 (Índice Exposición FT)'!$A$4:$H$7,8,FALSE)&amp;")"</f>
        <v>ALTO (65)</v>
      </c>
      <c r="M36" s="56" t="s">
        <v>1151</v>
      </c>
    </row>
    <row r="37" spans="1:13" ht="33.75" customHeight="1" x14ac:dyDescent="0.25">
      <c r="A37" s="59">
        <v>34</v>
      </c>
      <c r="B37" s="55" t="s">
        <v>83</v>
      </c>
      <c r="C37" s="55" t="s">
        <v>83</v>
      </c>
      <c r="D37" s="55" t="s">
        <v>106</v>
      </c>
      <c r="E37" s="55" t="s">
        <v>43</v>
      </c>
      <c r="F37" s="55" t="s">
        <v>4</v>
      </c>
      <c r="G37" s="77">
        <v>890</v>
      </c>
      <c r="H37" s="55" t="s">
        <v>845</v>
      </c>
      <c r="I37" s="59">
        <v>2</v>
      </c>
      <c r="J37" s="109" t="str">
        <f t="shared" si="0"/>
        <v>✔️</v>
      </c>
      <c r="K37" s="110" t="str">
        <f>IF(AND(B37="México",I37&gt;=5,G37&gt;=496,G37&lt;=499),"Alta frecuencia + monto umbral",
 IF(AND(I37&gt;=5,G37&gt;=496,G37&lt;=499),"Alta frecuencia + monto umbral",
 IF(AND(B37="México",I37&gt;=5,COUNTIF($E$4:E37,E37)&gt;=2),"Múltiples remitentes + alta frecuencia",
 IF(AND(COUNTIF($E$4:E37,E37)&gt;=2,I37&lt;5),"Múltiples remitentes",
 IF(I37&gt;=5,"Alta frecuencia",
 IF(AND(G37&gt;=496,G37&lt;=499,I37&gt;=4),"Monto recurrente debajo de umbral",
 IF(AND(G37&gt;=496,G37&lt;=499),"Monto cercano a umbral USD 500",
 IF(COUNTIF($E$4:E37,E37)&gt;=2,"Variación de remitente",
 "Normal"))))))))</f>
        <v>Normal</v>
      </c>
      <c r="L37" s="61" t="str">
        <f>VLOOKUP(B37,'Caso 3 (Índice Exposición FT)'!$A$4:$I$7,9,FALSE)&amp;" ("&amp;VLOOKUP(B37,'Caso 3 (Índice Exposición FT)'!$A$4:$H$7,8,FALSE)&amp;")"</f>
        <v>MEDIO (39.5)</v>
      </c>
      <c r="M37" s="55"/>
    </row>
    <row r="38" spans="1:13" ht="33.75" customHeight="1" x14ac:dyDescent="0.25">
      <c r="A38" s="75">
        <v>35</v>
      </c>
      <c r="B38" s="56" t="s">
        <v>82</v>
      </c>
      <c r="C38" s="56" t="s">
        <v>82</v>
      </c>
      <c r="D38" s="56" t="s">
        <v>107</v>
      </c>
      <c r="E38" s="56" t="s">
        <v>44</v>
      </c>
      <c r="F38" s="56" t="s">
        <v>0</v>
      </c>
      <c r="G38" s="76">
        <v>2700</v>
      </c>
      <c r="H38" s="56" t="s">
        <v>849</v>
      </c>
      <c r="I38" s="75">
        <v>8</v>
      </c>
      <c r="J38" s="109" t="str">
        <f t="shared" si="0"/>
        <v>⚠️</v>
      </c>
      <c r="K38" s="110" t="str">
        <f>IF(AND(B38="México",I38&gt;=5,G38&gt;=496,G38&lt;=499),"Alta frecuencia + monto umbral",
 IF(AND(I38&gt;=5,G38&gt;=496,G38&lt;=499),"Alta frecuencia + monto umbral",
 IF(AND(B38="México",I38&gt;=5,COUNTIF($E$4:E38,E38)&gt;=2),"Múltiples remitentes + alta frecuencia",
 IF(AND(COUNTIF($E$4:E38,E38)&gt;=2,I38&lt;5),"Múltiples remitentes",
 IF(I38&gt;=5,"Alta frecuencia",
 IF(AND(G38&gt;=496,G38&lt;=499,I38&gt;=4),"Monto recurrente debajo de umbral",
 IF(AND(G38&gt;=496,G38&lt;=499),"Monto cercano a umbral USD 500",
 IF(COUNTIF($E$4:E38,E38)&gt;=2,"Variación de remitente",
 "Normal"))))))))</f>
        <v>Alta frecuencia</v>
      </c>
      <c r="L38" s="61" t="str">
        <f>VLOOKUP(B38,'Caso 3 (Índice Exposición FT)'!$A$4:$I$7,9,FALSE)&amp;" ("&amp;VLOOKUP(B38,'Caso 3 (Índice Exposición FT)'!$A$4:$H$7,8,FALSE)&amp;")"</f>
        <v>CRÍTICO (82)</v>
      </c>
      <c r="M38" s="56" t="s">
        <v>1152</v>
      </c>
    </row>
    <row r="39" spans="1:13" ht="33.75" customHeight="1" x14ac:dyDescent="0.25">
      <c r="A39" s="59">
        <v>36</v>
      </c>
      <c r="B39" s="55" t="s">
        <v>81</v>
      </c>
      <c r="C39" s="55" t="s">
        <v>102</v>
      </c>
      <c r="D39" s="55" t="s">
        <v>109</v>
      </c>
      <c r="E39" s="55" t="s">
        <v>45</v>
      </c>
      <c r="F39" s="55" t="s">
        <v>1</v>
      </c>
      <c r="G39" s="77">
        <v>820</v>
      </c>
      <c r="H39" s="55" t="s">
        <v>1154</v>
      </c>
      <c r="I39" s="59">
        <v>3</v>
      </c>
      <c r="J39" s="109" t="str">
        <f t="shared" si="0"/>
        <v>✔️</v>
      </c>
      <c r="K39" s="110" t="str">
        <f>IF(AND(B39="México",I39&gt;=5,G39&gt;=496,G39&lt;=499),"Alta frecuencia + monto umbral",
 IF(AND(I39&gt;=5,G39&gt;=496,G39&lt;=499),"Alta frecuencia + monto umbral",
 IF(AND(B39="México",I39&gt;=5,COUNTIF($E$4:E39,E39)&gt;=2),"Múltiples remitentes + alta frecuencia",
 IF(AND(COUNTIF($E$4:E39,E39)&gt;=2,I39&lt;5),"Múltiples remitentes",
 IF(I39&gt;=5,"Alta frecuencia",
 IF(AND(G39&gt;=496,G39&lt;=499,I39&gt;=4),"Monto recurrente debajo de umbral",
 IF(AND(G39&gt;=496,G39&lt;=499),"Monto cercano a umbral USD 500",
 IF(COUNTIF($E$4:E39,E39)&gt;=2,"Variación de remitente",
 "Normal"))))))))</f>
        <v>Normal</v>
      </c>
      <c r="L39" s="61" t="str">
        <f>VLOOKUP(B39,'Caso 3 (Índice Exposición FT)'!$A$4:$I$7,9,FALSE)&amp;" ("&amp;VLOOKUP(B39,'Caso 3 (Índice Exposición FT)'!$A$4:$H$7,8,FALSE)&amp;")"</f>
        <v>ALTO (65)</v>
      </c>
      <c r="M39" s="55"/>
    </row>
    <row r="40" spans="1:13" ht="33.75" customHeight="1" x14ac:dyDescent="0.25">
      <c r="A40" s="75">
        <v>37</v>
      </c>
      <c r="B40" s="56" t="s">
        <v>82</v>
      </c>
      <c r="C40" s="56" t="s">
        <v>82</v>
      </c>
      <c r="D40" s="56" t="s">
        <v>110</v>
      </c>
      <c r="E40" s="56" t="s">
        <v>46</v>
      </c>
      <c r="F40" s="56" t="s">
        <v>3</v>
      </c>
      <c r="G40" s="76">
        <v>497</v>
      </c>
      <c r="H40" s="56" t="s">
        <v>719</v>
      </c>
      <c r="I40" s="75">
        <v>7</v>
      </c>
      <c r="J40" s="109" t="str">
        <f t="shared" si="0"/>
        <v>⚠️</v>
      </c>
      <c r="K40" s="110" t="str">
        <f>IF(AND(B40="México",I40&gt;=5,G40&gt;=496,G40&lt;=499),"Alta frecuencia + monto umbral",
 IF(AND(I40&gt;=5,G40&gt;=496,G40&lt;=499),"Alta frecuencia + monto umbral",
 IF(AND(B40="México",I40&gt;=5,COUNTIF($E$4:E40,E40)&gt;=2),"Múltiples remitentes + alta frecuencia",
 IF(AND(COUNTIF($E$4:E40,E40)&gt;=2,I40&lt;5),"Múltiples remitentes",
 IF(I40&gt;=5,"Alta frecuencia",
 IF(AND(G40&gt;=496,G40&lt;=499,I40&gt;=4),"Monto recurrente debajo de umbral",
 IF(AND(G40&gt;=496,G40&lt;=499),"Monto cercano a umbral USD 500",
 IF(COUNTIF($E$4:E40,E40)&gt;=2,"Variación de remitente",
 "Normal"))))))))</f>
        <v>Alta frecuencia + monto umbral</v>
      </c>
      <c r="L40" s="61" t="str">
        <f>VLOOKUP(B40,'Caso 3 (Índice Exposición FT)'!$A$4:$I$7,9,FALSE)&amp;" ("&amp;VLOOKUP(B40,'Caso 3 (Índice Exposición FT)'!$A$4:$H$7,8,FALSE)&amp;")"</f>
        <v>CRÍTICO (82)</v>
      </c>
      <c r="M40" s="56" t="s">
        <v>1151</v>
      </c>
    </row>
    <row r="41" spans="1:13" ht="33.75" customHeight="1" x14ac:dyDescent="0.25">
      <c r="A41" s="59">
        <v>38</v>
      </c>
      <c r="B41" s="55" t="s">
        <v>81</v>
      </c>
      <c r="C41" s="55" t="s">
        <v>102</v>
      </c>
      <c r="D41" s="55" t="s">
        <v>112</v>
      </c>
      <c r="E41" s="55" t="s">
        <v>47</v>
      </c>
      <c r="F41" s="55" t="s">
        <v>6</v>
      </c>
      <c r="G41" s="77">
        <v>1180</v>
      </c>
      <c r="H41" s="55" t="s">
        <v>720</v>
      </c>
      <c r="I41" s="59">
        <v>4</v>
      </c>
      <c r="J41" s="109" t="str">
        <f t="shared" si="0"/>
        <v>✔️</v>
      </c>
      <c r="K41" s="110" t="str">
        <f>IF(AND(B41="México",I41&gt;=5,G41&gt;=496,G41&lt;=499),"Alta frecuencia + monto umbral",
 IF(AND(I41&gt;=5,G41&gt;=496,G41&lt;=499),"Alta frecuencia + monto umbral",
 IF(AND(B41="México",I41&gt;=5,COUNTIF($E$4:E41,E41)&gt;=2),"Múltiples remitentes + alta frecuencia",
 IF(AND(COUNTIF($E$4:E41,E41)&gt;=2,I41&lt;5),"Múltiples remitentes",
 IF(I41&gt;=5,"Alta frecuencia",
 IF(AND(G41&gt;=496,G41&lt;=499,I41&gt;=4),"Monto recurrente debajo de umbral",
 IF(AND(G41&gt;=496,G41&lt;=499),"Monto cercano a umbral USD 500",
 IF(COUNTIF($E$4:E41,E41)&gt;=2,"Variación de remitente",
 "Normal"))))))))</f>
        <v>Normal</v>
      </c>
      <c r="L41" s="61" t="str">
        <f>VLOOKUP(B41,'Caso 3 (Índice Exposición FT)'!$A$4:$I$7,9,FALSE)&amp;" ("&amp;VLOOKUP(B41,'Caso 3 (Índice Exposición FT)'!$A$4:$H$7,8,FALSE)&amp;")"</f>
        <v>ALTO (65)</v>
      </c>
      <c r="M41" s="55"/>
    </row>
    <row r="42" spans="1:13" ht="33.75" customHeight="1" x14ac:dyDescent="0.25">
      <c r="A42" s="75">
        <v>39</v>
      </c>
      <c r="B42" s="56" t="s">
        <v>83</v>
      </c>
      <c r="C42" s="56" t="s">
        <v>83</v>
      </c>
      <c r="D42" s="56" t="s">
        <v>113</v>
      </c>
      <c r="E42" s="56" t="s">
        <v>48</v>
      </c>
      <c r="F42" s="56" t="s">
        <v>9</v>
      </c>
      <c r="G42" s="76">
        <v>1020</v>
      </c>
      <c r="H42" s="56" t="s">
        <v>722</v>
      </c>
      <c r="I42" s="75">
        <v>3</v>
      </c>
      <c r="J42" s="109" t="str">
        <f t="shared" si="0"/>
        <v>✔️</v>
      </c>
      <c r="K42" s="110" t="str">
        <f>IF(AND(B42="México",I42&gt;=5,G42&gt;=496,G42&lt;=499),"Alta frecuencia + monto umbral",
 IF(AND(I42&gt;=5,G42&gt;=496,G42&lt;=499),"Alta frecuencia + monto umbral",
 IF(AND(B42="México",I42&gt;=5,COUNTIF($E$4:E42,E42)&gt;=2),"Múltiples remitentes + alta frecuencia",
 IF(AND(COUNTIF($E$4:E42,E42)&gt;=2,I42&lt;5),"Múltiples remitentes",
 IF(I42&gt;=5,"Alta frecuencia",
 IF(AND(G42&gt;=496,G42&lt;=499,I42&gt;=4),"Monto recurrente debajo de umbral",
 IF(AND(G42&gt;=496,G42&lt;=499),"Monto cercano a umbral USD 500",
 IF(COUNTIF($E$4:E42,E42)&gt;=2,"Variación de remitente",
 "Normal"))))))))</f>
        <v>Normal</v>
      </c>
      <c r="L42" s="61" t="str">
        <f>VLOOKUP(B42,'Caso 3 (Índice Exposición FT)'!$A$4:$I$7,9,FALSE)&amp;" ("&amp;VLOOKUP(B42,'Caso 3 (Índice Exposición FT)'!$A$4:$H$7,8,FALSE)&amp;")"</f>
        <v>MEDIO (39.5)</v>
      </c>
      <c r="M42" s="56"/>
    </row>
    <row r="43" spans="1:13" ht="33.75" customHeight="1" x14ac:dyDescent="0.25">
      <c r="A43" s="59">
        <v>40</v>
      </c>
      <c r="B43" s="55" t="s">
        <v>82</v>
      </c>
      <c r="C43" s="55" t="s">
        <v>82</v>
      </c>
      <c r="D43" s="55" t="s">
        <v>115</v>
      </c>
      <c r="E43" s="55" t="s">
        <v>49</v>
      </c>
      <c r="F43" s="55" t="s">
        <v>5</v>
      </c>
      <c r="G43" s="77">
        <v>2400</v>
      </c>
      <c r="H43" s="55" t="s">
        <v>723</v>
      </c>
      <c r="I43" s="59">
        <v>6</v>
      </c>
      <c r="J43" s="109" t="str">
        <f t="shared" si="0"/>
        <v>⚠️</v>
      </c>
      <c r="K43" s="110" t="str">
        <f>IF(AND(B43="México",I43&gt;=5,G43&gt;=496,G43&lt;=499),"Alta frecuencia + monto umbral",
 IF(AND(I43&gt;=5,G43&gt;=496,G43&lt;=499),"Alta frecuencia + monto umbral",
 IF(AND(B43="México",I43&gt;=5,COUNTIF($E$4:E43,E43)&gt;=2),"Múltiples remitentes + alta frecuencia",
 IF(AND(COUNTIF($E$4:E43,E43)&gt;=2,I43&lt;5),"Múltiples remitentes",
 IF(I43&gt;=5,"Alta frecuencia",
 IF(AND(G43&gt;=496,G43&lt;=499,I43&gt;=4),"Monto recurrente debajo de umbral",
 IF(AND(G43&gt;=496,G43&lt;=499),"Monto cercano a umbral USD 500",
 IF(COUNTIF($E$4:E43,E43)&gt;=2,"Variación de remitente",
 "Normal"))))))))</f>
        <v>Alta frecuencia</v>
      </c>
      <c r="L43" s="61" t="str">
        <f>VLOOKUP(B43,'Caso 3 (Índice Exposición FT)'!$A$4:$I$7,9,FALSE)&amp;" ("&amp;VLOOKUP(B43,'Caso 3 (Índice Exposición FT)'!$A$4:$H$7,8,FALSE)&amp;")"</f>
        <v>CRÍTICO (82)</v>
      </c>
      <c r="M43" s="55" t="s">
        <v>1150</v>
      </c>
    </row>
    <row r="44" spans="1:13" ht="33.75" customHeight="1" x14ac:dyDescent="0.25">
      <c r="A44" s="75">
        <v>41</v>
      </c>
      <c r="B44" s="56" t="s">
        <v>81</v>
      </c>
      <c r="C44" s="56" t="s">
        <v>102</v>
      </c>
      <c r="D44" s="56" t="s">
        <v>116</v>
      </c>
      <c r="E44" s="56" t="s">
        <v>50</v>
      </c>
      <c r="F44" s="56" t="s">
        <v>1</v>
      </c>
      <c r="G44" s="76">
        <v>710</v>
      </c>
      <c r="H44" s="56" t="s">
        <v>724</v>
      </c>
      <c r="I44" s="75">
        <v>2</v>
      </c>
      <c r="J44" s="109" t="str">
        <f t="shared" si="0"/>
        <v>✔️</v>
      </c>
      <c r="K44" s="110" t="str">
        <f>IF(AND(B44="México",I44&gt;=5,G44&gt;=496,G44&lt;=499),"Alta frecuencia + monto umbral",
 IF(AND(I44&gt;=5,G44&gt;=496,G44&lt;=499),"Alta frecuencia + monto umbral",
 IF(AND(B44="México",I44&gt;=5,COUNTIF($E$4:E44,E44)&gt;=2),"Múltiples remitentes + alta frecuencia",
 IF(AND(COUNTIF($E$4:E44,E44)&gt;=2,I44&lt;5),"Múltiples remitentes",
 IF(I44&gt;=5,"Alta frecuencia",
 IF(AND(G44&gt;=496,G44&lt;=499,I44&gt;=4),"Monto recurrente debajo de umbral",
 IF(AND(G44&gt;=496,G44&lt;=499),"Monto cercano a umbral USD 500",
 IF(COUNTIF($E$4:E44,E44)&gt;=2,"Variación de remitente",
 "Normal"))))))))</f>
        <v>Normal</v>
      </c>
      <c r="L44" s="61" t="str">
        <f>VLOOKUP(B44,'Caso 3 (Índice Exposición FT)'!$A$4:$I$7,9,FALSE)&amp;" ("&amp;VLOOKUP(B44,'Caso 3 (Índice Exposición FT)'!$A$4:$H$7,8,FALSE)&amp;")"</f>
        <v>ALTO (65)</v>
      </c>
      <c r="M44" s="56"/>
    </row>
    <row r="45" spans="1:13" ht="33.75" customHeight="1" x14ac:dyDescent="0.25">
      <c r="A45" s="59">
        <v>42</v>
      </c>
      <c r="B45" s="55" t="s">
        <v>81</v>
      </c>
      <c r="C45" s="55" t="s">
        <v>102</v>
      </c>
      <c r="D45" s="55" t="s">
        <v>1149</v>
      </c>
      <c r="E45" s="55" t="s">
        <v>51</v>
      </c>
      <c r="F45" s="55" t="s">
        <v>0</v>
      </c>
      <c r="G45" s="77">
        <v>499</v>
      </c>
      <c r="H45" s="55" t="s">
        <v>1155</v>
      </c>
      <c r="I45" s="59">
        <v>5</v>
      </c>
      <c r="J45" s="109" t="str">
        <f t="shared" si="0"/>
        <v>⚠️</v>
      </c>
      <c r="K45" s="110" t="str">
        <f>IF(AND(B45="México",I45&gt;=5,G45&gt;=496,G45&lt;=499),"Alta frecuencia + monto umbral",
 IF(AND(I45&gt;=5,G45&gt;=496,G45&lt;=499),"Alta frecuencia + monto umbral",
 IF(AND(B45="México",I45&gt;=5,COUNTIF($E$4:E45,E45)&gt;=2),"Múltiples remitentes + alta frecuencia",
 IF(AND(COUNTIF($E$4:E45,E45)&gt;=2,I45&lt;5),"Múltiples remitentes",
 IF(I45&gt;=5,"Alta frecuencia",
 IF(AND(G45&gt;=496,G45&lt;=499,I45&gt;=4),"Monto recurrente debajo de umbral",
 IF(AND(G45&gt;=496,G45&lt;=499),"Monto cercano a umbral USD 500",
 IF(COUNTIF($E$4:E45,E45)&gt;=2,"Variación de remitente",
 "Normal"))))))))</f>
        <v>Alta frecuencia + monto umbral</v>
      </c>
      <c r="L45" s="61" t="str">
        <f>VLOOKUP(B45,'Caso 3 (Índice Exposición FT)'!$A$4:$I$7,9,FALSE)&amp;" ("&amp;VLOOKUP(B45,'Caso 3 (Índice Exposición FT)'!$A$4:$H$7,8,FALSE)&amp;")"</f>
        <v>ALTO (65)</v>
      </c>
      <c r="M45" s="55" t="s">
        <v>1151</v>
      </c>
    </row>
    <row r="46" spans="1:13" ht="33.75" customHeight="1" x14ac:dyDescent="0.25">
      <c r="A46" s="75">
        <v>43</v>
      </c>
      <c r="B46" s="56" t="s">
        <v>82</v>
      </c>
      <c r="C46" s="56" t="s">
        <v>82</v>
      </c>
      <c r="D46" s="56" t="s">
        <v>103</v>
      </c>
      <c r="E46" s="56" t="s">
        <v>52</v>
      </c>
      <c r="F46" s="56" t="s">
        <v>7</v>
      </c>
      <c r="G46" s="76">
        <v>1920</v>
      </c>
      <c r="H46" s="56" t="s">
        <v>1156</v>
      </c>
      <c r="I46" s="75">
        <v>4</v>
      </c>
      <c r="J46" s="109" t="str">
        <f t="shared" si="0"/>
        <v>✔️</v>
      </c>
      <c r="K46" s="110" t="str">
        <f>IF(AND(B46="México",I46&gt;=5,G46&gt;=496,G46&lt;=499),"Alta frecuencia + monto umbral",
 IF(AND(I46&gt;=5,G46&gt;=496,G46&lt;=499),"Alta frecuencia + monto umbral",
 IF(AND(B46="México",I46&gt;=5,COUNTIF($E$4:E46,E46)&gt;=2),"Múltiples remitentes + alta frecuencia",
 IF(AND(COUNTIF($E$4:E46,E46)&gt;=2,I46&lt;5),"Múltiples remitentes",
 IF(I46&gt;=5,"Alta frecuencia",
 IF(AND(G46&gt;=496,G46&lt;=499,I46&gt;=4),"Monto recurrente debajo de umbral",
 IF(AND(G46&gt;=496,G46&lt;=499),"Monto cercano a umbral USD 500",
 IF(COUNTIF($E$4:E46,E46)&gt;=2,"Variación de remitente",
 "Normal"))))))))</f>
        <v>Normal</v>
      </c>
      <c r="L46" s="61" t="str">
        <f>VLOOKUP(B46,'Caso 3 (Índice Exposición FT)'!$A$4:$I$7,9,FALSE)&amp;" ("&amp;VLOOKUP(B46,'Caso 3 (Índice Exposición FT)'!$A$4:$H$7,8,FALSE)&amp;")"</f>
        <v>CRÍTICO (82)</v>
      </c>
      <c r="M46" s="56"/>
    </row>
    <row r="47" spans="1:13" ht="33.75" customHeight="1" x14ac:dyDescent="0.25">
      <c r="A47" s="59">
        <v>44</v>
      </c>
      <c r="B47" s="55" t="s">
        <v>81</v>
      </c>
      <c r="C47" s="55" t="s">
        <v>102</v>
      </c>
      <c r="D47" s="55" t="s">
        <v>105</v>
      </c>
      <c r="E47" s="55" t="s">
        <v>53</v>
      </c>
      <c r="F47" s="55" t="s">
        <v>8</v>
      </c>
      <c r="G47" s="77">
        <v>930</v>
      </c>
      <c r="H47" s="55" t="s">
        <v>727</v>
      </c>
      <c r="I47" s="59">
        <v>3</v>
      </c>
      <c r="J47" s="109" t="str">
        <f t="shared" si="0"/>
        <v>✔️</v>
      </c>
      <c r="K47" s="110" t="str">
        <f>IF(AND(B47="México",I47&gt;=5,G47&gt;=496,G47&lt;=499),"Alta frecuencia + monto umbral",
 IF(AND(I47&gt;=5,G47&gt;=496,G47&lt;=499),"Alta frecuencia + monto umbral",
 IF(AND(B47="México",I47&gt;=5,COUNTIF($E$4:E47,E47)&gt;=2),"Múltiples remitentes + alta frecuencia",
 IF(AND(COUNTIF($E$4:E47,E47)&gt;=2,I47&lt;5),"Múltiples remitentes",
 IF(I47&gt;=5,"Alta frecuencia",
 IF(AND(G47&gt;=496,G47&lt;=499,I47&gt;=4),"Monto recurrente debajo de umbral",
 IF(AND(G47&gt;=496,G47&lt;=499),"Monto cercano a umbral USD 500",
 IF(COUNTIF($E$4:E47,E47)&gt;=2,"Variación de remitente",
 "Normal"))))))))</f>
        <v>Normal</v>
      </c>
      <c r="L47" s="61" t="str">
        <f>VLOOKUP(B47,'Caso 3 (Índice Exposición FT)'!$A$4:$I$7,9,FALSE)&amp;" ("&amp;VLOOKUP(B47,'Caso 3 (Índice Exposición FT)'!$A$4:$H$7,8,FALSE)&amp;")"</f>
        <v>ALTO (65)</v>
      </c>
      <c r="M47" s="55"/>
    </row>
    <row r="48" spans="1:13" ht="33.75" customHeight="1" x14ac:dyDescent="0.25">
      <c r="A48" s="75">
        <v>45</v>
      </c>
      <c r="B48" s="56" t="s">
        <v>82</v>
      </c>
      <c r="C48" s="56" t="s">
        <v>82</v>
      </c>
      <c r="D48" s="56" t="s">
        <v>107</v>
      </c>
      <c r="E48" s="56" t="s">
        <v>54</v>
      </c>
      <c r="F48" s="56" t="s">
        <v>3</v>
      </c>
      <c r="G48" s="76">
        <v>2650</v>
      </c>
      <c r="H48" s="56" t="s">
        <v>1157</v>
      </c>
      <c r="I48" s="75">
        <v>9</v>
      </c>
      <c r="J48" s="109" t="str">
        <f t="shared" si="0"/>
        <v>⚠️</v>
      </c>
      <c r="K48" s="110" t="str">
        <f>IF(AND(B48="México",I48&gt;=5,G48&gt;=496,G48&lt;=499),"Alta frecuencia + monto umbral",
 IF(AND(I48&gt;=5,G48&gt;=496,G48&lt;=499),"Alta frecuencia + monto umbral",
 IF(AND(B48="México",I48&gt;=5,COUNTIF($E$4:E48,E48)&gt;=2),"Múltiples remitentes + alta frecuencia",
 IF(AND(COUNTIF($E$4:E48,E48)&gt;=2,I48&lt;5),"Múltiples remitentes",
 IF(I48&gt;=5,"Alta frecuencia",
 IF(AND(G48&gt;=496,G48&lt;=499,I48&gt;=4),"Monto recurrente debajo de umbral",
 IF(AND(G48&gt;=496,G48&lt;=499),"Monto cercano a umbral USD 500",
 IF(COUNTIF($E$4:E48,E48)&gt;=2,"Variación de remitente",
 "Normal"))))))))</f>
        <v>Alta frecuencia</v>
      </c>
      <c r="L48" s="61" t="str">
        <f>VLOOKUP(B48,'Caso 3 (Índice Exposición FT)'!$A$4:$I$7,9,FALSE)&amp;" ("&amp;VLOOKUP(B48,'Caso 3 (Índice Exposición FT)'!$A$4:$H$7,8,FALSE)&amp;")"</f>
        <v>CRÍTICO (82)</v>
      </c>
      <c r="M48" s="56" t="s">
        <v>1152</v>
      </c>
    </row>
    <row r="49" spans="1:13" ht="33.75" customHeight="1" x14ac:dyDescent="0.25">
      <c r="A49" s="59">
        <v>46</v>
      </c>
      <c r="B49" s="55" t="s">
        <v>83</v>
      </c>
      <c r="C49" s="55" t="s">
        <v>83</v>
      </c>
      <c r="D49" s="55" t="s">
        <v>106</v>
      </c>
      <c r="E49" s="55" t="s">
        <v>55</v>
      </c>
      <c r="F49" s="55" t="s">
        <v>2</v>
      </c>
      <c r="G49" s="77">
        <v>950</v>
      </c>
      <c r="H49" s="55" t="s">
        <v>1158</v>
      </c>
      <c r="I49" s="59">
        <v>2</v>
      </c>
      <c r="J49" s="109" t="str">
        <f t="shared" si="0"/>
        <v>✔️</v>
      </c>
      <c r="K49" s="110" t="str">
        <f>IF(AND(B49="México",I49&gt;=5,G49&gt;=496,G49&lt;=499),"Alta frecuencia + monto umbral",
 IF(AND(I49&gt;=5,G49&gt;=496,G49&lt;=499),"Alta frecuencia + monto umbral",
 IF(AND(B49="México",I49&gt;=5,COUNTIF($E$4:E49,E49)&gt;=2),"Múltiples remitentes + alta frecuencia",
 IF(AND(COUNTIF($E$4:E49,E49)&gt;=2,I49&lt;5),"Múltiples remitentes",
 IF(I49&gt;=5,"Alta frecuencia",
 IF(AND(G49&gt;=496,G49&lt;=499,I49&gt;=4),"Monto recurrente debajo de umbral",
 IF(AND(G49&gt;=496,G49&lt;=499),"Monto cercano a umbral USD 500",
 IF(COUNTIF($E$4:E49,E49)&gt;=2,"Variación de remitente",
 "Normal"))))))))</f>
        <v>Normal</v>
      </c>
      <c r="L49" s="61" t="str">
        <f>VLOOKUP(B49,'Caso 3 (Índice Exposición FT)'!$A$4:$I$7,9,FALSE)&amp;" ("&amp;VLOOKUP(B49,'Caso 3 (Índice Exposición FT)'!$A$4:$H$7,8,FALSE)&amp;")"</f>
        <v>MEDIO (39.5)</v>
      </c>
      <c r="M49" s="55"/>
    </row>
    <row r="50" spans="1:13" ht="33.75" customHeight="1" x14ac:dyDescent="0.25">
      <c r="A50" s="75">
        <v>47</v>
      </c>
      <c r="B50" s="56" t="s">
        <v>82</v>
      </c>
      <c r="C50" s="56" t="s">
        <v>82</v>
      </c>
      <c r="D50" s="56" t="s">
        <v>110</v>
      </c>
      <c r="E50" s="56" t="s">
        <v>56</v>
      </c>
      <c r="F50" s="56" t="s">
        <v>9</v>
      </c>
      <c r="G50" s="76">
        <v>498</v>
      </c>
      <c r="H50" s="56" t="s">
        <v>1159</v>
      </c>
      <c r="I50" s="75">
        <v>7</v>
      </c>
      <c r="J50" s="109" t="str">
        <f t="shared" si="0"/>
        <v>⚠️</v>
      </c>
      <c r="K50" s="110" t="str">
        <f>IF(AND(B50="México",I50&gt;=5,G50&gt;=496,G50&lt;=499),"Alta frecuencia + monto umbral",
 IF(AND(I50&gt;=5,G50&gt;=496,G50&lt;=499),"Alta frecuencia + monto umbral",
 IF(AND(B50="México",I50&gt;=5,COUNTIF($E$4:E50,E50)&gt;=2),"Múltiples remitentes + alta frecuencia",
 IF(AND(COUNTIF($E$4:E50,E50)&gt;=2,I50&lt;5),"Múltiples remitentes",
 IF(I50&gt;=5,"Alta frecuencia",
 IF(AND(G50&gt;=496,G50&lt;=499,I50&gt;=4),"Monto recurrente debajo de umbral",
 IF(AND(G50&gt;=496,G50&lt;=499),"Monto cercano a umbral USD 500",
 IF(COUNTIF($E$4:E50,E50)&gt;=2,"Variación de remitente",
 "Normal"))))))))</f>
        <v>Alta frecuencia + monto umbral</v>
      </c>
      <c r="L50" s="61" t="str">
        <f>VLOOKUP(B50,'Caso 3 (Índice Exposición FT)'!$A$4:$I$7,9,FALSE)&amp;" ("&amp;VLOOKUP(B50,'Caso 3 (Índice Exposición FT)'!$A$4:$H$7,8,FALSE)&amp;")"</f>
        <v>CRÍTICO (82)</v>
      </c>
      <c r="M50" s="56" t="s">
        <v>1151</v>
      </c>
    </row>
    <row r="51" spans="1:13" ht="33.75" customHeight="1" x14ac:dyDescent="0.25">
      <c r="A51" s="59">
        <v>48</v>
      </c>
      <c r="B51" s="55" t="s">
        <v>81</v>
      </c>
      <c r="C51" s="55" t="s">
        <v>102</v>
      </c>
      <c r="D51" s="55" t="s">
        <v>112</v>
      </c>
      <c r="E51" s="55" t="s">
        <v>57</v>
      </c>
      <c r="F51" s="55" t="s">
        <v>0</v>
      </c>
      <c r="G51" s="77">
        <v>1350</v>
      </c>
      <c r="H51" s="55" t="s">
        <v>1160</v>
      </c>
      <c r="I51" s="59">
        <v>4</v>
      </c>
      <c r="J51" s="109" t="str">
        <f t="shared" si="0"/>
        <v>✔️</v>
      </c>
      <c r="K51" s="110" t="str">
        <f>IF(AND(B51="México",I51&gt;=5,G51&gt;=496,G51&lt;=499),"Alta frecuencia + monto umbral",
 IF(AND(I51&gt;=5,G51&gt;=496,G51&lt;=499),"Alta frecuencia + monto umbral",
 IF(AND(B51="México",I51&gt;=5,COUNTIF($E$4:E51,E51)&gt;=2),"Múltiples remitentes + alta frecuencia",
 IF(AND(COUNTIF($E$4:E51,E51)&gt;=2,I51&lt;5),"Múltiples remitentes",
 IF(I51&gt;=5,"Alta frecuencia",
 IF(AND(G51&gt;=496,G51&lt;=499,I51&gt;=4),"Monto recurrente debajo de umbral",
 IF(AND(G51&gt;=496,G51&lt;=499),"Monto cercano a umbral USD 500",
 IF(COUNTIF($E$4:E51,E51)&gt;=2,"Variación de remitente",
 "Normal"))))))))</f>
        <v>Normal</v>
      </c>
      <c r="L51" s="61" t="str">
        <f>VLOOKUP(B51,'Caso 3 (Índice Exposición FT)'!$A$4:$I$7,9,FALSE)&amp;" ("&amp;VLOOKUP(B51,'Caso 3 (Índice Exposición FT)'!$A$4:$H$7,8,FALSE)&amp;")"</f>
        <v>ALTO (65)</v>
      </c>
      <c r="M51" s="55"/>
    </row>
    <row r="52" spans="1:13" ht="33.75" customHeight="1" x14ac:dyDescent="0.25">
      <c r="A52" s="75">
        <v>49</v>
      </c>
      <c r="B52" s="56" t="s">
        <v>81</v>
      </c>
      <c r="C52" s="56" t="s">
        <v>102</v>
      </c>
      <c r="D52" s="56" t="s">
        <v>109</v>
      </c>
      <c r="E52" s="56" t="s">
        <v>58</v>
      </c>
      <c r="F52" s="56" t="s">
        <v>1</v>
      </c>
      <c r="G52" s="76">
        <v>780</v>
      </c>
      <c r="H52" s="56" t="s">
        <v>1161</v>
      </c>
      <c r="I52" s="75">
        <v>3</v>
      </c>
      <c r="J52" s="109" t="str">
        <f t="shared" si="0"/>
        <v>✔️</v>
      </c>
      <c r="K52" s="110" t="str">
        <f>IF(AND(B52="México",I52&gt;=5,G52&gt;=496,G52&lt;=499),"Alta frecuencia + monto umbral",
 IF(AND(I52&gt;=5,G52&gt;=496,G52&lt;=499),"Alta frecuencia + monto umbral",
 IF(AND(B52="México",I52&gt;=5,COUNTIF($E$4:E52,E52)&gt;=2),"Múltiples remitentes + alta frecuencia",
 IF(AND(COUNTIF($E$4:E52,E52)&gt;=2,I52&lt;5),"Múltiples remitentes",
 IF(I52&gt;=5,"Alta frecuencia",
 IF(AND(G52&gt;=496,G52&lt;=499,I52&gt;=4),"Monto recurrente debajo de umbral",
 IF(AND(G52&gt;=496,G52&lt;=499),"Monto cercano a umbral USD 500",
 IF(COUNTIF($E$4:E52,E52)&gt;=2,"Variación de remitente",
 "Normal"))))))))</f>
        <v>Normal</v>
      </c>
      <c r="L52" s="61" t="str">
        <f>VLOOKUP(B52,'Caso 3 (Índice Exposición FT)'!$A$4:$I$7,9,FALSE)&amp;" ("&amp;VLOOKUP(B52,'Caso 3 (Índice Exposición FT)'!$A$4:$H$7,8,FALSE)&amp;")"</f>
        <v>ALTO (65)</v>
      </c>
      <c r="M52" s="56"/>
    </row>
    <row r="53" spans="1:13" ht="33.75" customHeight="1" x14ac:dyDescent="0.25">
      <c r="A53" s="59">
        <v>50</v>
      </c>
      <c r="B53" s="55" t="s">
        <v>82</v>
      </c>
      <c r="C53" s="55" t="s">
        <v>82</v>
      </c>
      <c r="D53" s="55" t="s">
        <v>115</v>
      </c>
      <c r="E53" s="55" t="s">
        <v>59</v>
      </c>
      <c r="F53" s="55" t="s">
        <v>4</v>
      </c>
      <c r="G53" s="77">
        <v>2300</v>
      </c>
      <c r="H53" s="55" t="s">
        <v>1162</v>
      </c>
      <c r="I53" s="59">
        <v>6</v>
      </c>
      <c r="J53" s="109" t="str">
        <f t="shared" si="0"/>
        <v>⚠️</v>
      </c>
      <c r="K53" s="110" t="str">
        <f>IF(AND(B53="México",I53&gt;=5,G53&gt;=496,G53&lt;=499),"Alta frecuencia + monto umbral",
 IF(AND(I53&gt;=5,G53&gt;=496,G53&lt;=499),"Alta frecuencia + monto umbral",
 IF(AND(B53="México",I53&gt;=5,COUNTIF($E$4:E53,E53)&gt;=2),"Múltiples remitentes + alta frecuencia",
 IF(AND(COUNTIF($E$4:E53,E53)&gt;=2,I53&lt;5),"Múltiples remitentes",
 IF(I53&gt;=5,"Alta frecuencia",
 IF(AND(G53&gt;=496,G53&lt;=499,I53&gt;=4),"Monto recurrente debajo de umbral",
 IF(AND(G53&gt;=496,G53&lt;=499),"Monto cercano a umbral USD 500",
 IF(COUNTIF($E$4:E53,E53)&gt;=2,"Variación de remitente",
 "Normal"))))))))</f>
        <v>Alta frecuencia</v>
      </c>
      <c r="L53" s="61" t="str">
        <f>VLOOKUP(B53,'Caso 3 (Índice Exposición FT)'!$A$4:$I$7,9,FALSE)&amp;" ("&amp;VLOOKUP(B53,'Caso 3 (Índice Exposición FT)'!$A$4:$H$7,8,FALSE)&amp;")"</f>
        <v>CRÍTICO (82)</v>
      </c>
      <c r="M53" s="55" t="s">
        <v>1150</v>
      </c>
    </row>
    <row r="54" spans="1:13" ht="33.75" customHeight="1" x14ac:dyDescent="0.25">
      <c r="A54" s="75">
        <v>51</v>
      </c>
      <c r="B54" s="56" t="s">
        <v>81</v>
      </c>
      <c r="C54" s="56" t="s">
        <v>102</v>
      </c>
      <c r="D54" s="56" t="s">
        <v>1149</v>
      </c>
      <c r="E54" s="56" t="s">
        <v>60</v>
      </c>
      <c r="F54" s="56" t="s">
        <v>5</v>
      </c>
      <c r="G54" s="76">
        <v>499</v>
      </c>
      <c r="H54" s="56" t="s">
        <v>1163</v>
      </c>
      <c r="I54" s="75">
        <v>5</v>
      </c>
      <c r="J54" s="109" t="str">
        <f t="shared" si="0"/>
        <v>⚠️</v>
      </c>
      <c r="K54" s="110" t="str">
        <f>IF(AND(B54="México",I54&gt;=5,G54&gt;=496,G54&lt;=499),"Alta frecuencia + monto umbral",
 IF(AND(I54&gt;=5,G54&gt;=496,G54&lt;=499),"Alta frecuencia + monto umbral",
 IF(AND(B54="México",I54&gt;=5,COUNTIF($E$4:E54,E54)&gt;=2),"Múltiples remitentes + alta frecuencia",
 IF(AND(COUNTIF($E$4:E54,E54)&gt;=2,I54&lt;5),"Múltiples remitentes",
 IF(I54&gt;=5,"Alta frecuencia",
 IF(AND(G54&gt;=496,G54&lt;=499,I54&gt;=4),"Monto recurrente debajo de umbral",
 IF(AND(G54&gt;=496,G54&lt;=499),"Monto cercano a umbral USD 500",
 IF(COUNTIF($E$4:E54,E54)&gt;=2,"Variación de remitente",
 "Normal"))))))))</f>
        <v>Alta frecuencia + monto umbral</v>
      </c>
      <c r="L54" s="61" t="str">
        <f>VLOOKUP(B54,'Caso 3 (Índice Exposición FT)'!$A$4:$I$7,9,FALSE)&amp;" ("&amp;VLOOKUP(B54,'Caso 3 (Índice Exposición FT)'!$A$4:$H$7,8,FALSE)&amp;")"</f>
        <v>ALTO (65)</v>
      </c>
      <c r="M54" s="56" t="s">
        <v>1151</v>
      </c>
    </row>
    <row r="55" spans="1:13" ht="33.75" customHeight="1" x14ac:dyDescent="0.25">
      <c r="A55" s="59">
        <v>52</v>
      </c>
      <c r="B55" s="55" t="s">
        <v>83</v>
      </c>
      <c r="C55" s="55" t="s">
        <v>83</v>
      </c>
      <c r="D55" s="55" t="s">
        <v>113</v>
      </c>
      <c r="E55" s="55" t="s">
        <v>61</v>
      </c>
      <c r="F55" s="55" t="s">
        <v>6</v>
      </c>
      <c r="G55" s="77">
        <v>1100</v>
      </c>
      <c r="H55" s="55" t="s">
        <v>1164</v>
      </c>
      <c r="I55" s="59">
        <v>2</v>
      </c>
      <c r="J55" s="109" t="str">
        <f t="shared" si="0"/>
        <v>✔️</v>
      </c>
      <c r="K55" s="110" t="str">
        <f>IF(AND(B55="México",I55&gt;=5,G55&gt;=496,G55&lt;=499),"Alta frecuencia + monto umbral",
 IF(AND(I55&gt;=5,G55&gt;=496,G55&lt;=499),"Alta frecuencia + monto umbral",
 IF(AND(B55="México",I55&gt;=5,COUNTIF($E$4:E55,E55)&gt;=2),"Múltiples remitentes + alta frecuencia",
 IF(AND(COUNTIF($E$4:E55,E55)&gt;=2,I55&lt;5),"Múltiples remitentes",
 IF(I55&gt;=5,"Alta frecuencia",
 IF(AND(G55&gt;=496,G55&lt;=499,I55&gt;=4),"Monto recurrente debajo de umbral",
 IF(AND(G55&gt;=496,G55&lt;=499),"Monto cercano a umbral USD 500",
 IF(COUNTIF($E$4:E55,E55)&gt;=2,"Variación de remitente",
 "Normal"))))))))</f>
        <v>Normal</v>
      </c>
      <c r="L55" s="61" t="str">
        <f>VLOOKUP(B55,'Caso 3 (Índice Exposición FT)'!$A$4:$I$7,9,FALSE)&amp;" ("&amp;VLOOKUP(B55,'Caso 3 (Índice Exposición FT)'!$A$4:$H$7,8,FALSE)&amp;")"</f>
        <v>MEDIO (39.5)</v>
      </c>
      <c r="M55" s="55"/>
    </row>
    <row r="56" spans="1:13" ht="33.75" customHeight="1" x14ac:dyDescent="0.25">
      <c r="A56" s="75">
        <v>53</v>
      </c>
      <c r="B56" s="56" t="s">
        <v>82</v>
      </c>
      <c r="C56" s="56" t="s">
        <v>82</v>
      </c>
      <c r="D56" s="56" t="s">
        <v>103</v>
      </c>
      <c r="E56" s="56" t="s">
        <v>62</v>
      </c>
      <c r="F56" s="56" t="s">
        <v>7</v>
      </c>
      <c r="G56" s="76">
        <v>2550</v>
      </c>
      <c r="H56" s="56" t="s">
        <v>1165</v>
      </c>
      <c r="I56" s="75">
        <v>8</v>
      </c>
      <c r="J56" s="109" t="str">
        <f t="shared" si="0"/>
        <v>⚠️</v>
      </c>
      <c r="K56" s="110" t="str">
        <f>IF(AND(B56="México",I56&gt;=5,G56&gt;=496,G56&lt;=499),"Alta frecuencia + monto umbral",
 IF(AND(I56&gt;=5,G56&gt;=496,G56&lt;=499),"Alta frecuencia + monto umbral",
 IF(AND(B56="México",I56&gt;=5,COUNTIF($E$4:E56,E56)&gt;=2),"Múltiples remitentes + alta frecuencia",
 IF(AND(COUNTIF($E$4:E56,E56)&gt;=2,I56&lt;5),"Múltiples remitentes",
 IF(I56&gt;=5,"Alta frecuencia",
 IF(AND(G56&gt;=496,G56&lt;=499,I56&gt;=4),"Monto recurrente debajo de umbral",
 IF(AND(G56&gt;=496,G56&lt;=499),"Monto cercano a umbral USD 500",
 IF(COUNTIF($E$4:E56,E56)&gt;=2,"Variación de remitente",
 "Normal"))))))))</f>
        <v>Alta frecuencia</v>
      </c>
      <c r="L56" s="61" t="str">
        <f>VLOOKUP(B56,'Caso 3 (Índice Exposición FT)'!$A$4:$I$7,9,FALSE)&amp;" ("&amp;VLOOKUP(B56,'Caso 3 (Índice Exposición FT)'!$A$4:$H$7,8,FALSE)&amp;")"</f>
        <v>CRÍTICO (82)</v>
      </c>
      <c r="M56" s="56" t="s">
        <v>1152</v>
      </c>
    </row>
    <row r="57" spans="1:13" ht="33.75" customHeight="1" x14ac:dyDescent="0.25">
      <c r="A57" s="59">
        <v>54</v>
      </c>
      <c r="B57" s="55" t="s">
        <v>81</v>
      </c>
      <c r="C57" s="55" t="s">
        <v>102</v>
      </c>
      <c r="D57" s="55" t="s">
        <v>105</v>
      </c>
      <c r="E57" s="55" t="s">
        <v>63</v>
      </c>
      <c r="F57" s="55" t="s">
        <v>0</v>
      </c>
      <c r="G57" s="77">
        <v>860</v>
      </c>
      <c r="H57" s="55" t="s">
        <v>1166</v>
      </c>
      <c r="I57" s="59">
        <v>3</v>
      </c>
      <c r="J57" s="109" t="str">
        <f t="shared" si="0"/>
        <v>✔️</v>
      </c>
      <c r="K57" s="110" t="str">
        <f>IF(AND(B57="México",I57&gt;=5,G57&gt;=496,G57&lt;=499),"Alta frecuencia + monto umbral",
 IF(AND(I57&gt;=5,G57&gt;=496,G57&lt;=499),"Alta frecuencia + monto umbral",
 IF(AND(B57="México",I57&gt;=5,COUNTIF($E$4:E57,E57)&gt;=2),"Múltiples remitentes + alta frecuencia",
 IF(AND(COUNTIF($E$4:E57,E57)&gt;=2,I57&lt;5),"Múltiples remitentes",
 IF(I57&gt;=5,"Alta frecuencia",
 IF(AND(G57&gt;=496,G57&lt;=499,I57&gt;=4),"Monto recurrente debajo de umbral",
 IF(AND(G57&gt;=496,G57&lt;=499),"Monto cercano a umbral USD 500",
 IF(COUNTIF($E$4:E57,E57)&gt;=2,"Variación de remitente",
 "Normal"))))))))</f>
        <v>Normal</v>
      </c>
      <c r="L57" s="61" t="str">
        <f>VLOOKUP(B57,'Caso 3 (Índice Exposición FT)'!$A$4:$I$7,9,FALSE)&amp;" ("&amp;VLOOKUP(B57,'Caso 3 (Índice Exposición FT)'!$A$4:$H$7,8,FALSE)&amp;")"</f>
        <v>ALTO (65)</v>
      </c>
      <c r="M57" s="55"/>
    </row>
    <row r="58" spans="1:13" ht="33.75" customHeight="1" x14ac:dyDescent="0.25">
      <c r="A58" s="75">
        <v>55</v>
      </c>
      <c r="B58" s="56" t="s">
        <v>82</v>
      </c>
      <c r="C58" s="56" t="s">
        <v>82</v>
      </c>
      <c r="D58" s="56" t="s">
        <v>107</v>
      </c>
      <c r="E58" s="56" t="s">
        <v>64</v>
      </c>
      <c r="F58" s="56" t="s">
        <v>1</v>
      </c>
      <c r="G58" s="76">
        <v>2100</v>
      </c>
      <c r="H58" s="56" t="s">
        <v>736</v>
      </c>
      <c r="I58" s="75">
        <v>7</v>
      </c>
      <c r="J58" s="109" t="str">
        <f t="shared" si="0"/>
        <v>⚠️</v>
      </c>
      <c r="K58" s="110" t="str">
        <f>IF(AND(B58="México",I58&gt;=5,G58&gt;=496,G58&lt;=499),"Alta frecuencia + monto umbral",
 IF(AND(I58&gt;=5,G58&gt;=496,G58&lt;=499),"Alta frecuencia + monto umbral",
 IF(AND(B58="México",I58&gt;=5,COUNTIF($E$4:E58,E58)&gt;=2),"Múltiples remitentes + alta frecuencia",
 IF(AND(COUNTIF($E$4:E58,E58)&gt;=2,I58&lt;5),"Múltiples remitentes",
 IF(I58&gt;=5,"Alta frecuencia",
 IF(AND(G58&gt;=496,G58&lt;=499,I58&gt;=4),"Monto recurrente debajo de umbral",
 IF(AND(G58&gt;=496,G58&lt;=499),"Monto cercano a umbral USD 500",
 IF(COUNTIF($E$4:E58,E58)&gt;=2,"Variación de remitente",
 "Normal"))))))))</f>
        <v>Alta frecuencia</v>
      </c>
      <c r="L58" s="61" t="str">
        <f>VLOOKUP(B58,'Caso 3 (Índice Exposición FT)'!$A$4:$I$7,9,FALSE)&amp;" ("&amp;VLOOKUP(B58,'Caso 3 (Índice Exposición FT)'!$A$4:$H$7,8,FALSE)&amp;")"</f>
        <v>CRÍTICO (82)</v>
      </c>
      <c r="M58" s="56" t="s">
        <v>1150</v>
      </c>
    </row>
    <row r="59" spans="1:13" ht="33.75" customHeight="1" x14ac:dyDescent="0.25">
      <c r="A59" s="59">
        <v>56</v>
      </c>
      <c r="B59" s="55" t="s">
        <v>81</v>
      </c>
      <c r="C59" s="55" t="s">
        <v>102</v>
      </c>
      <c r="D59" s="55" t="s">
        <v>116</v>
      </c>
      <c r="E59" s="55" t="s">
        <v>468</v>
      </c>
      <c r="F59" s="55" t="s">
        <v>2</v>
      </c>
      <c r="G59" s="77">
        <v>720</v>
      </c>
      <c r="H59" s="55" t="s">
        <v>737</v>
      </c>
      <c r="I59" s="59">
        <v>4</v>
      </c>
      <c r="J59" s="109" t="str">
        <f t="shared" si="0"/>
        <v>✔️</v>
      </c>
      <c r="K59" s="110" t="str">
        <f>IF(AND(B59="México",I59&gt;=5,G59&gt;=496,G59&lt;=499),"Alta frecuencia + monto umbral",
 IF(AND(I59&gt;=5,G59&gt;=496,G59&lt;=499),"Alta frecuencia + monto umbral",
 IF(AND(B59="México",I59&gt;=5,COUNTIF($E$4:E59,E59)&gt;=2),"Múltiples remitentes + alta frecuencia",
 IF(AND(COUNTIF($E$4:E59,E59)&gt;=2,I59&lt;5),"Múltiples remitentes",
 IF(I59&gt;=5,"Alta frecuencia",
 IF(AND(G59&gt;=496,G59&lt;=499,I59&gt;=4),"Monto recurrente debajo de umbral",
 IF(AND(G59&gt;=496,G59&lt;=499),"Monto cercano a umbral USD 500",
 IF(COUNTIF($E$4:E59,E59)&gt;=2,"Variación de remitente",
 "Normal"))))))))</f>
        <v>Normal</v>
      </c>
      <c r="L59" s="61" t="str">
        <f>VLOOKUP(B59,'Caso 3 (Índice Exposición FT)'!$A$4:$I$7,9,FALSE)&amp;" ("&amp;VLOOKUP(B59,'Caso 3 (Índice Exposición FT)'!$A$4:$H$7,8,FALSE)&amp;")"</f>
        <v>ALTO (65)</v>
      </c>
      <c r="M59" s="55"/>
    </row>
    <row r="60" spans="1:13" ht="33.75" customHeight="1" x14ac:dyDescent="0.25">
      <c r="A60" s="75">
        <v>57</v>
      </c>
      <c r="B60" s="56" t="s">
        <v>81</v>
      </c>
      <c r="C60" s="56" t="s">
        <v>102</v>
      </c>
      <c r="D60" s="56" t="s">
        <v>112</v>
      </c>
      <c r="E60" s="56" t="s">
        <v>17</v>
      </c>
      <c r="F60" s="56" t="s">
        <v>4</v>
      </c>
      <c r="G60" s="76">
        <v>1250</v>
      </c>
      <c r="H60" s="56" t="s">
        <v>1167</v>
      </c>
      <c r="I60" s="75">
        <v>2</v>
      </c>
      <c r="J60" s="109" t="str">
        <f t="shared" si="0"/>
        <v>⚠️</v>
      </c>
      <c r="K60" s="110" t="str">
        <f>IF(AND(B60="México",I60&gt;=5,G60&gt;=496,G60&lt;=499),"Alta frecuencia + monto umbral",
 IF(AND(I60&gt;=5,G60&gt;=496,G60&lt;=499),"Alta frecuencia + monto umbral",
 IF(AND(B60="México",I60&gt;=5,COUNTIF($E$4:E60,E60)&gt;=2),"Múltiples remitentes + alta frecuencia",
 IF(AND(COUNTIF($E$4:E60,E60)&gt;=2,I60&lt;5),"Múltiples remitentes",
 IF(I60&gt;=5,"Alta frecuencia",
 IF(AND(G60&gt;=496,G60&lt;=499,I60&gt;=4),"Monto recurrente debajo de umbral",
 IF(AND(G60&gt;=496,G60&lt;=499),"Monto cercano a umbral USD 500",
 IF(COUNTIF($E$4:E60,E60)&gt;=2,"Variación de remitente",
 "Normal"))))))))</f>
        <v>Múltiples remitentes</v>
      </c>
      <c r="L60" s="61" t="str">
        <f>VLOOKUP(B60,'Caso 3 (Índice Exposición FT)'!$A$4:$I$7,9,FALSE)&amp;" ("&amp;VLOOKUP(B60,'Caso 3 (Índice Exposición FT)'!$A$4:$H$7,8,FALSE)&amp;")"</f>
        <v>ALTO (65)</v>
      </c>
      <c r="M60" s="56"/>
    </row>
    <row r="61" spans="1:13" ht="33.75" customHeight="1" x14ac:dyDescent="0.25">
      <c r="A61" s="59">
        <v>58</v>
      </c>
      <c r="B61" s="55" t="s">
        <v>82</v>
      </c>
      <c r="C61" s="55" t="s">
        <v>82</v>
      </c>
      <c r="D61" s="55" t="s">
        <v>110</v>
      </c>
      <c r="E61" s="55" t="s">
        <v>18</v>
      </c>
      <c r="F61" s="55" t="s">
        <v>0</v>
      </c>
      <c r="G61" s="77">
        <v>498</v>
      </c>
      <c r="H61" s="55" t="s">
        <v>740</v>
      </c>
      <c r="I61" s="59">
        <v>9</v>
      </c>
      <c r="J61" s="109" t="str">
        <f t="shared" si="0"/>
        <v>⚠️</v>
      </c>
      <c r="K61" s="110" t="str">
        <f>IF(AND(B61="México",I61&gt;=5,G61&gt;=496,G61&lt;=499),"Alta frecuencia + monto umbral",
 IF(AND(I61&gt;=5,G61&gt;=496,G61&lt;=499),"Alta frecuencia + monto umbral",
 IF(AND(B61="México",I61&gt;=5,COUNTIF($E$4:E61,E61)&gt;=2),"Múltiples remitentes + alta frecuencia",
 IF(AND(COUNTIF($E$4:E61,E61)&gt;=2,I61&lt;5),"Múltiples remitentes",
 IF(I61&gt;=5,"Alta frecuencia",
 IF(AND(G61&gt;=496,G61&lt;=499,I61&gt;=4),"Monto recurrente debajo de umbral",
 IF(AND(G61&gt;=496,G61&lt;=499),"Monto cercano a umbral USD 500",
 IF(COUNTIF($E$4:E61,E61)&gt;=2,"Variación de remitente",
 "Normal"))))))))</f>
        <v>Alta frecuencia + monto umbral</v>
      </c>
      <c r="L61" s="61" t="str">
        <f>VLOOKUP(B61,'Caso 3 (Índice Exposición FT)'!$A$4:$I$7,9,FALSE)&amp;" ("&amp;VLOOKUP(B61,'Caso 3 (Índice Exposición FT)'!$A$4:$H$7,8,FALSE)&amp;")"</f>
        <v>CRÍTICO (82)</v>
      </c>
      <c r="M61" s="55" t="s">
        <v>1151</v>
      </c>
    </row>
    <row r="62" spans="1:13" ht="33.75" customHeight="1" x14ac:dyDescent="0.25">
      <c r="A62" s="75">
        <v>59</v>
      </c>
      <c r="B62" s="56" t="s">
        <v>83</v>
      </c>
      <c r="C62" s="56" t="s">
        <v>83</v>
      </c>
      <c r="D62" s="56" t="s">
        <v>106</v>
      </c>
      <c r="E62" s="56" t="s">
        <v>10</v>
      </c>
      <c r="F62" s="56" t="s">
        <v>3</v>
      </c>
      <c r="G62" s="76">
        <v>980</v>
      </c>
      <c r="H62" s="56" t="s">
        <v>1168</v>
      </c>
      <c r="I62" s="75">
        <v>3</v>
      </c>
      <c r="J62" s="109" t="str">
        <f t="shared" si="0"/>
        <v>⚠️</v>
      </c>
      <c r="K62" s="110" t="str">
        <f>IF(AND(B62="México",I62&gt;=5,G62&gt;=496,G62&lt;=499),"Alta frecuencia + monto umbral",
 IF(AND(I62&gt;=5,G62&gt;=496,G62&lt;=499),"Alta frecuencia + monto umbral",
 IF(AND(B62="México",I62&gt;=5,COUNTIF($E$4:E62,E62)&gt;=2),"Múltiples remitentes + alta frecuencia",
 IF(AND(COUNTIF($E$4:E62,E62)&gt;=2,I62&lt;5),"Múltiples remitentes",
 IF(I62&gt;=5,"Alta frecuencia",
 IF(AND(G62&gt;=496,G62&lt;=499,I62&gt;=4),"Monto recurrente debajo de umbral",
 IF(AND(G62&gt;=496,G62&lt;=499),"Monto cercano a umbral USD 500",
 IF(COUNTIF($E$4:E62,E62)&gt;=2,"Variación de remitente",
 "Normal"))))))))</f>
        <v>Múltiples remitentes</v>
      </c>
      <c r="L62" s="61" t="str">
        <f>VLOOKUP(B62,'Caso 3 (Índice Exposición FT)'!$A$4:$I$7,9,FALSE)&amp;" ("&amp;VLOOKUP(B62,'Caso 3 (Índice Exposición FT)'!$A$4:$H$7,8,FALSE)&amp;")"</f>
        <v>MEDIO (39.5)</v>
      </c>
      <c r="M62" s="56"/>
    </row>
    <row r="63" spans="1:13" ht="33.75" customHeight="1" x14ac:dyDescent="0.25">
      <c r="A63" s="59">
        <v>60</v>
      </c>
      <c r="B63" s="55" t="s">
        <v>82</v>
      </c>
      <c r="C63" s="55" t="s">
        <v>82</v>
      </c>
      <c r="D63" s="55" t="s">
        <v>115</v>
      </c>
      <c r="E63" s="55" t="s">
        <v>19</v>
      </c>
      <c r="F63" s="55" t="s">
        <v>1</v>
      </c>
      <c r="G63" s="77">
        <v>2800</v>
      </c>
      <c r="H63" s="55" t="s">
        <v>1169</v>
      </c>
      <c r="I63" s="59">
        <v>6</v>
      </c>
      <c r="J63" s="109" t="str">
        <f t="shared" si="0"/>
        <v>⚠️</v>
      </c>
      <c r="K63" s="110" t="str">
        <f>IF(AND(B63="México",I63&gt;=5,G63&gt;=496,G63&lt;=499),"Alta frecuencia + monto umbral",
 IF(AND(I63&gt;=5,G63&gt;=496,G63&lt;=499),"Alta frecuencia + monto umbral",
 IF(AND(B63="México",I63&gt;=5,COUNTIF($E$4:E63,E63)&gt;=2),"Múltiples remitentes + alta frecuencia",
 IF(AND(COUNTIF($E$4:E63,E63)&gt;=2,I63&lt;5),"Múltiples remitentes",
 IF(I63&gt;=5,"Alta frecuencia",
 IF(AND(G63&gt;=496,G63&lt;=499,I63&gt;=4),"Monto recurrente debajo de umbral",
 IF(AND(G63&gt;=496,G63&lt;=499),"Monto cercano a umbral USD 500",
 IF(COUNTIF($E$4:E63,E63)&gt;=2,"Variación de remitente",
 "Normal"))))))))</f>
        <v>Múltiples remitentes + alta frecuencia</v>
      </c>
      <c r="L63" s="61" t="str">
        <f>VLOOKUP(B63,'Caso 3 (Índice Exposición FT)'!$A$4:$I$7,9,FALSE)&amp;" ("&amp;VLOOKUP(B63,'Caso 3 (Índice Exposición FT)'!$A$4:$H$7,8,FALSE)&amp;")"</f>
        <v>CRÍTICO (82)</v>
      </c>
      <c r="M63" s="55" t="s">
        <v>1152</v>
      </c>
    </row>
    <row r="64" spans="1:13" ht="33.75" customHeight="1" x14ac:dyDescent="0.25">
      <c r="A64" s="75">
        <v>61</v>
      </c>
      <c r="B64" s="56" t="s">
        <v>81</v>
      </c>
      <c r="C64" s="56" t="s">
        <v>102</v>
      </c>
      <c r="D64" s="56" t="s">
        <v>1149</v>
      </c>
      <c r="E64" s="56" t="s">
        <v>68</v>
      </c>
      <c r="F64" s="56" t="s">
        <v>0</v>
      </c>
      <c r="G64" s="76">
        <v>650</v>
      </c>
      <c r="H64" s="56" t="s">
        <v>741</v>
      </c>
      <c r="I64" s="75">
        <v>4</v>
      </c>
      <c r="J64" s="109" t="str">
        <f t="shared" si="0"/>
        <v>✔️</v>
      </c>
      <c r="K64" s="110" t="str">
        <f>IF(AND(B64="México",I64&gt;=5,G64&gt;=496,G64&lt;=499),"Alta frecuencia + monto umbral",
 IF(AND(I64&gt;=5,G64&gt;=496,G64&lt;=499),"Alta frecuencia + monto umbral",
 IF(AND(B64="México",I64&gt;=5,COUNTIF($E$4:E64,E64)&gt;=2),"Múltiples remitentes + alta frecuencia",
 IF(AND(COUNTIF($E$4:E64,E64)&gt;=2,I64&lt;5),"Múltiples remitentes",
 IF(I64&gt;=5,"Alta frecuencia",
 IF(AND(G64&gt;=496,G64&lt;=499,I64&gt;=4),"Monto recurrente debajo de umbral",
 IF(AND(G64&gt;=496,G64&lt;=499),"Monto cercano a umbral USD 500",
 IF(COUNTIF($E$4:E64,E64)&gt;=2,"Variación de remitente",
 "Normal"))))))))</f>
        <v>Normal</v>
      </c>
      <c r="L64" s="61" t="str">
        <f>VLOOKUP(B64,'Caso 3 (Índice Exposición FT)'!$A$4:$I$7,9,FALSE)&amp;" ("&amp;VLOOKUP(B64,'Caso 3 (Índice Exposición FT)'!$A$4:$H$7,8,FALSE)&amp;")"</f>
        <v>ALTO (65)</v>
      </c>
      <c r="M64" s="56"/>
    </row>
    <row r="65" spans="1:13" ht="33.75" customHeight="1" x14ac:dyDescent="0.25">
      <c r="A65" s="59">
        <v>62</v>
      </c>
      <c r="B65" s="55" t="s">
        <v>82</v>
      </c>
      <c r="C65" s="55" t="s">
        <v>82</v>
      </c>
      <c r="D65" s="55" t="s">
        <v>103</v>
      </c>
      <c r="E65" s="55" t="s">
        <v>69</v>
      </c>
      <c r="F65" s="55" t="s">
        <v>5</v>
      </c>
      <c r="G65" s="77">
        <v>2450</v>
      </c>
      <c r="H65" s="55" t="s">
        <v>742</v>
      </c>
      <c r="I65" s="59">
        <v>8</v>
      </c>
      <c r="J65" s="109" t="str">
        <f t="shared" si="0"/>
        <v>⚠️</v>
      </c>
      <c r="K65" s="110" t="str">
        <f>IF(AND(B65="México",I65&gt;=5,G65&gt;=496,G65&lt;=499),"Alta frecuencia + monto umbral",
 IF(AND(I65&gt;=5,G65&gt;=496,G65&lt;=499),"Alta frecuencia + monto umbral",
 IF(AND(B65="México",I65&gt;=5,COUNTIF($E$4:E65,E65)&gt;=2),"Múltiples remitentes + alta frecuencia",
 IF(AND(COUNTIF($E$4:E65,E65)&gt;=2,I65&lt;5),"Múltiples remitentes",
 IF(I65&gt;=5,"Alta frecuencia",
 IF(AND(G65&gt;=496,G65&lt;=499,I65&gt;=4),"Monto recurrente debajo de umbral",
 IF(AND(G65&gt;=496,G65&lt;=499),"Monto cercano a umbral USD 500",
 IF(COUNTIF($E$4:E65,E65)&gt;=2,"Variación de remitente",
 "Normal"))))))))</f>
        <v>Alta frecuencia</v>
      </c>
      <c r="L65" s="61" t="str">
        <f>VLOOKUP(B65,'Caso 3 (Índice Exposición FT)'!$A$4:$I$7,9,FALSE)&amp;" ("&amp;VLOOKUP(B65,'Caso 3 (Índice Exposición FT)'!$A$4:$H$7,8,FALSE)&amp;")"</f>
        <v>CRÍTICO (82)</v>
      </c>
      <c r="M65" s="55" t="s">
        <v>1150</v>
      </c>
    </row>
    <row r="66" spans="1:13" ht="33.75" customHeight="1" x14ac:dyDescent="0.25">
      <c r="A66" s="75">
        <v>63</v>
      </c>
      <c r="B66" s="56" t="s">
        <v>81</v>
      </c>
      <c r="C66" s="56" t="s">
        <v>102</v>
      </c>
      <c r="D66" s="56" t="s">
        <v>105</v>
      </c>
      <c r="E66" s="56" t="s">
        <v>70</v>
      </c>
      <c r="F66" s="56" t="s">
        <v>6</v>
      </c>
      <c r="G66" s="76">
        <v>499</v>
      </c>
      <c r="H66" s="56" t="s">
        <v>743</v>
      </c>
      <c r="I66" s="75">
        <v>5</v>
      </c>
      <c r="J66" s="109" t="str">
        <f t="shared" si="0"/>
        <v>⚠️</v>
      </c>
      <c r="K66" s="110" t="str">
        <f>IF(AND(B66="México",I66&gt;=5,G66&gt;=496,G66&lt;=499),"Alta frecuencia + monto umbral",
 IF(AND(I66&gt;=5,G66&gt;=496,G66&lt;=499),"Alta frecuencia + monto umbral",
 IF(AND(B66="México",I66&gt;=5,COUNTIF($E$4:E66,E66)&gt;=2),"Múltiples remitentes + alta frecuencia",
 IF(AND(COUNTIF($E$4:E66,E66)&gt;=2,I66&lt;5),"Múltiples remitentes",
 IF(I66&gt;=5,"Alta frecuencia",
 IF(AND(G66&gt;=496,G66&lt;=499,I66&gt;=4),"Monto recurrente debajo de umbral",
 IF(AND(G66&gt;=496,G66&lt;=499),"Monto cercano a umbral USD 500",
 IF(COUNTIF($E$4:E66,E66)&gt;=2,"Variación de remitente",
 "Normal"))))))))</f>
        <v>Alta frecuencia + monto umbral</v>
      </c>
      <c r="L66" s="61" t="str">
        <f>VLOOKUP(B66,'Caso 3 (Índice Exposición FT)'!$A$4:$I$7,9,FALSE)&amp;" ("&amp;VLOOKUP(B66,'Caso 3 (Índice Exposición FT)'!$A$4:$H$7,8,FALSE)&amp;")"</f>
        <v>ALTO (65)</v>
      </c>
      <c r="M66" s="56" t="s">
        <v>1151</v>
      </c>
    </row>
    <row r="67" spans="1:13" ht="33.75" customHeight="1" x14ac:dyDescent="0.25">
      <c r="A67" s="59">
        <v>64</v>
      </c>
      <c r="B67" s="55" t="s">
        <v>83</v>
      </c>
      <c r="C67" s="55" t="s">
        <v>83</v>
      </c>
      <c r="D67" s="55" t="s">
        <v>113</v>
      </c>
      <c r="E67" s="55" t="s">
        <v>71</v>
      </c>
      <c r="F67" s="55" t="s">
        <v>1</v>
      </c>
      <c r="G67" s="77">
        <v>1150</v>
      </c>
      <c r="H67" s="55" t="s">
        <v>744</v>
      </c>
      <c r="I67" s="59">
        <v>2</v>
      </c>
      <c r="J67" s="109" t="str">
        <f t="shared" si="0"/>
        <v>✔️</v>
      </c>
      <c r="K67" s="110" t="str">
        <f>IF(AND(B67="México",I67&gt;=5,G67&gt;=496,G67&lt;=499),"Alta frecuencia + monto umbral",
 IF(AND(I67&gt;=5,G67&gt;=496,G67&lt;=499),"Alta frecuencia + monto umbral",
 IF(AND(B67="México",I67&gt;=5,COUNTIF($E$4:E67,E67)&gt;=2),"Múltiples remitentes + alta frecuencia",
 IF(AND(COUNTIF($E$4:E67,E67)&gt;=2,I67&lt;5),"Múltiples remitentes",
 IF(I67&gt;=5,"Alta frecuencia",
 IF(AND(G67&gt;=496,G67&lt;=499,I67&gt;=4),"Monto recurrente debajo de umbral",
 IF(AND(G67&gt;=496,G67&lt;=499),"Monto cercano a umbral USD 500",
 IF(COUNTIF($E$4:E67,E67)&gt;=2,"Variación de remitente",
 "Normal"))))))))</f>
        <v>Normal</v>
      </c>
      <c r="L67" s="61" t="str">
        <f>VLOOKUP(B67,'Caso 3 (Índice Exposición FT)'!$A$4:$I$7,9,FALSE)&amp;" ("&amp;VLOOKUP(B67,'Caso 3 (Índice Exposición FT)'!$A$4:$H$7,8,FALSE)&amp;")"</f>
        <v>MEDIO (39.5)</v>
      </c>
      <c r="M67" s="55"/>
    </row>
    <row r="68" spans="1:13" ht="33.75" customHeight="1" x14ac:dyDescent="0.25">
      <c r="A68" s="75">
        <v>65</v>
      </c>
      <c r="B68" s="56" t="s">
        <v>82</v>
      </c>
      <c r="C68" s="56" t="s">
        <v>82</v>
      </c>
      <c r="D68" s="56" t="s">
        <v>107</v>
      </c>
      <c r="E68" s="56" t="s">
        <v>72</v>
      </c>
      <c r="F68" s="56" t="s">
        <v>3</v>
      </c>
      <c r="G68" s="76">
        <v>2300</v>
      </c>
      <c r="H68" s="56" t="s">
        <v>746</v>
      </c>
      <c r="I68" s="75">
        <v>7</v>
      </c>
      <c r="J68" s="109" t="str">
        <f t="shared" si="0"/>
        <v>⚠️</v>
      </c>
      <c r="K68" s="110" t="str">
        <f>IF(AND(B68="México",I68&gt;=5,G68&gt;=496,G68&lt;=499),"Alta frecuencia + monto umbral",
 IF(AND(I68&gt;=5,G68&gt;=496,G68&lt;=499),"Alta frecuencia + monto umbral",
 IF(AND(B68="México",I68&gt;=5,COUNTIF($E$4:E68,E68)&gt;=2),"Múltiples remitentes + alta frecuencia",
 IF(AND(COUNTIF($E$4:E68,E68)&gt;=2,I68&lt;5),"Múltiples remitentes",
 IF(I68&gt;=5,"Alta frecuencia",
 IF(AND(G68&gt;=496,G68&lt;=499,I68&gt;=4),"Monto recurrente debajo de umbral",
 IF(AND(G68&gt;=496,G68&lt;=499),"Monto cercano a umbral USD 500",
 IF(COUNTIF($E$4:E68,E68)&gt;=2,"Variación de remitente",
 "Normal"))))))))</f>
        <v>Alta frecuencia</v>
      </c>
      <c r="L68" s="61" t="str">
        <f>VLOOKUP(B68,'Caso 3 (Índice Exposición FT)'!$A$4:$I$7,9,FALSE)&amp;" ("&amp;VLOOKUP(B68,'Caso 3 (Índice Exposición FT)'!$A$4:$H$7,8,FALSE)&amp;")"</f>
        <v>CRÍTICO (82)</v>
      </c>
      <c r="M68" s="56" t="s">
        <v>1150</v>
      </c>
    </row>
    <row r="69" spans="1:13" ht="33.75" customHeight="1" x14ac:dyDescent="0.25">
      <c r="A69" s="59">
        <v>66</v>
      </c>
      <c r="B69" s="55" t="s">
        <v>81</v>
      </c>
      <c r="C69" s="55" t="s">
        <v>102</v>
      </c>
      <c r="D69" s="55" t="s">
        <v>109</v>
      </c>
      <c r="E69" s="55" t="s">
        <v>73</v>
      </c>
      <c r="F69" s="55" t="s">
        <v>9</v>
      </c>
      <c r="G69" s="77">
        <v>820</v>
      </c>
      <c r="H69" s="55" t="s">
        <v>747</v>
      </c>
      <c r="I69" s="59">
        <v>3</v>
      </c>
      <c r="J69" s="109" t="str">
        <f t="shared" ref="J69:J103" si="1">IF(K69="Normal","✔️","⚠️")</f>
        <v>✔️</v>
      </c>
      <c r="K69" s="110" t="str">
        <f>IF(AND(B69="México",I69&gt;=5,G69&gt;=496,G69&lt;=499),"Alta frecuencia + monto umbral",
 IF(AND(I69&gt;=5,G69&gt;=496,G69&lt;=499),"Alta frecuencia + monto umbral",
 IF(AND(B69="México",I69&gt;=5,COUNTIF($E$4:E69,E69)&gt;=2),"Múltiples remitentes + alta frecuencia",
 IF(AND(COUNTIF($E$4:E69,E69)&gt;=2,I69&lt;5),"Múltiples remitentes",
 IF(I69&gt;=5,"Alta frecuencia",
 IF(AND(G69&gt;=496,G69&lt;=499,I69&gt;=4),"Monto recurrente debajo de umbral",
 IF(AND(G69&gt;=496,G69&lt;=499),"Monto cercano a umbral USD 500",
 IF(COUNTIF($E$4:E69,E69)&gt;=2,"Variación de remitente",
 "Normal"))))))))</f>
        <v>Normal</v>
      </c>
      <c r="L69" s="61" t="str">
        <f>VLOOKUP(B69,'Caso 3 (Índice Exposición FT)'!$A$4:$I$7,9,FALSE)&amp;" ("&amp;VLOOKUP(B69,'Caso 3 (Índice Exposición FT)'!$A$4:$H$7,8,FALSE)&amp;")"</f>
        <v>ALTO (65)</v>
      </c>
      <c r="M69" s="55"/>
    </row>
    <row r="70" spans="1:13" ht="33.75" customHeight="1" x14ac:dyDescent="0.25">
      <c r="A70" s="75">
        <v>67</v>
      </c>
      <c r="B70" s="56" t="s">
        <v>82</v>
      </c>
      <c r="C70" s="56" t="s">
        <v>82</v>
      </c>
      <c r="D70" s="56" t="s">
        <v>110</v>
      </c>
      <c r="E70" s="56" t="s">
        <v>74</v>
      </c>
      <c r="F70" s="56" t="s">
        <v>2</v>
      </c>
      <c r="G70" s="76">
        <v>498</v>
      </c>
      <c r="H70" s="56" t="s">
        <v>1170</v>
      </c>
      <c r="I70" s="75">
        <v>6</v>
      </c>
      <c r="J70" s="109" t="str">
        <f t="shared" si="1"/>
        <v>⚠️</v>
      </c>
      <c r="K70" s="110" t="str">
        <f>IF(AND(B70="México",I70&gt;=5,G70&gt;=496,G70&lt;=499),"Alta frecuencia + monto umbral",
 IF(AND(I70&gt;=5,G70&gt;=496,G70&lt;=499),"Alta frecuencia + monto umbral",
 IF(AND(B70="México",I70&gt;=5,COUNTIF($E$4:E70,E70)&gt;=2),"Múltiples remitentes + alta frecuencia",
 IF(AND(COUNTIF($E$4:E70,E70)&gt;=2,I70&lt;5),"Múltiples remitentes",
 IF(I70&gt;=5,"Alta frecuencia",
 IF(AND(G70&gt;=496,G70&lt;=499,I70&gt;=4),"Monto recurrente debajo de umbral",
 IF(AND(G70&gt;=496,G70&lt;=499),"Monto cercano a umbral USD 500",
 IF(COUNTIF($E$4:E70,E70)&gt;=2,"Variación de remitente",
 "Normal"))))))))</f>
        <v>Alta frecuencia + monto umbral</v>
      </c>
      <c r="L70" s="61" t="str">
        <f>VLOOKUP(B70,'Caso 3 (Índice Exposición FT)'!$A$4:$I$7,9,FALSE)&amp;" ("&amp;VLOOKUP(B70,'Caso 3 (Índice Exposición FT)'!$A$4:$H$7,8,FALSE)&amp;")"</f>
        <v>CRÍTICO (82)</v>
      </c>
      <c r="M70" s="56" t="s">
        <v>1151</v>
      </c>
    </row>
    <row r="71" spans="1:13" ht="33.75" customHeight="1" x14ac:dyDescent="0.25">
      <c r="A71" s="59">
        <v>68</v>
      </c>
      <c r="B71" s="55" t="s">
        <v>81</v>
      </c>
      <c r="C71" s="55" t="s">
        <v>102</v>
      </c>
      <c r="D71" s="55" t="s">
        <v>112</v>
      </c>
      <c r="E71" s="55" t="s">
        <v>75</v>
      </c>
      <c r="F71" s="55" t="s">
        <v>0</v>
      </c>
      <c r="G71" s="77">
        <v>1380</v>
      </c>
      <c r="H71" s="55" t="s">
        <v>1171</v>
      </c>
      <c r="I71" s="59">
        <v>4</v>
      </c>
      <c r="J71" s="109" t="str">
        <f t="shared" si="1"/>
        <v>✔️</v>
      </c>
      <c r="K71" s="110" t="str">
        <f>IF(AND(B71="México",I71&gt;=5,G71&gt;=496,G71&lt;=499),"Alta frecuencia + monto umbral",
 IF(AND(I71&gt;=5,G71&gt;=496,G71&lt;=499),"Alta frecuencia + monto umbral",
 IF(AND(B71="México",I71&gt;=5,COUNTIF($E$4:E71,E71)&gt;=2),"Múltiples remitentes + alta frecuencia",
 IF(AND(COUNTIF($E$4:E71,E71)&gt;=2,I71&lt;5),"Múltiples remitentes",
 IF(I71&gt;=5,"Alta frecuencia",
 IF(AND(G71&gt;=496,G71&lt;=499,I71&gt;=4),"Monto recurrente debajo de umbral",
 IF(AND(G71&gt;=496,G71&lt;=499),"Monto cercano a umbral USD 500",
 IF(COUNTIF($E$4:E71,E71)&gt;=2,"Variación de remitente",
 "Normal"))))))))</f>
        <v>Normal</v>
      </c>
      <c r="L71" s="61" t="str">
        <f>VLOOKUP(B71,'Caso 3 (Índice Exposición FT)'!$A$4:$I$7,9,FALSE)&amp;" ("&amp;VLOOKUP(B71,'Caso 3 (Índice Exposición FT)'!$A$4:$H$7,8,FALSE)&amp;")"</f>
        <v>ALTO (65)</v>
      </c>
      <c r="M71" s="55"/>
    </row>
    <row r="72" spans="1:13" ht="33.75" customHeight="1" x14ac:dyDescent="0.25">
      <c r="A72" s="75">
        <v>69</v>
      </c>
      <c r="B72" s="56" t="s">
        <v>83</v>
      </c>
      <c r="C72" s="56" t="s">
        <v>83</v>
      </c>
      <c r="D72" s="56" t="s">
        <v>106</v>
      </c>
      <c r="E72" s="56" t="s">
        <v>76</v>
      </c>
      <c r="F72" s="56" t="s">
        <v>8</v>
      </c>
      <c r="G72" s="76">
        <v>1050</v>
      </c>
      <c r="H72" s="56" t="s">
        <v>1172</v>
      </c>
      <c r="I72" s="75">
        <v>3</v>
      </c>
      <c r="J72" s="109" t="str">
        <f t="shared" si="1"/>
        <v>✔️</v>
      </c>
      <c r="K72" s="110" t="str">
        <f>IF(AND(B72="México",I72&gt;=5,G72&gt;=496,G72&lt;=499),"Alta frecuencia + monto umbral",
 IF(AND(I72&gt;=5,G72&gt;=496,G72&lt;=499),"Alta frecuencia + monto umbral",
 IF(AND(B72="México",I72&gt;=5,COUNTIF($E$4:E72,E72)&gt;=2),"Múltiples remitentes + alta frecuencia",
 IF(AND(COUNTIF($E$4:E72,E72)&gt;=2,I72&lt;5),"Múltiples remitentes",
 IF(I72&gt;=5,"Alta frecuencia",
 IF(AND(G72&gt;=496,G72&lt;=499,I72&gt;=4),"Monto recurrente debajo de umbral",
 IF(AND(G72&gt;=496,G72&lt;=499),"Monto cercano a umbral USD 500",
 IF(COUNTIF($E$4:E72,E72)&gt;=2,"Variación de remitente",
 "Normal"))))))))</f>
        <v>Normal</v>
      </c>
      <c r="L72" s="61" t="str">
        <f>VLOOKUP(B72,'Caso 3 (Índice Exposición FT)'!$A$4:$I$7,9,FALSE)&amp;" ("&amp;VLOOKUP(B72,'Caso 3 (Índice Exposición FT)'!$A$4:$H$7,8,FALSE)&amp;")"</f>
        <v>MEDIO (39.5)</v>
      </c>
      <c r="M72" s="56"/>
    </row>
    <row r="73" spans="1:13" ht="33.75" customHeight="1" x14ac:dyDescent="0.25">
      <c r="A73" s="59">
        <v>70</v>
      </c>
      <c r="B73" s="55" t="s">
        <v>82</v>
      </c>
      <c r="C73" s="55" t="s">
        <v>82</v>
      </c>
      <c r="D73" s="55" t="s">
        <v>115</v>
      </c>
      <c r="E73" s="55" t="s">
        <v>77</v>
      </c>
      <c r="F73" s="55" t="s">
        <v>7</v>
      </c>
      <c r="G73" s="77">
        <v>2600</v>
      </c>
      <c r="H73" s="55" t="s">
        <v>1173</v>
      </c>
      <c r="I73" s="59">
        <v>9</v>
      </c>
      <c r="J73" s="109" t="str">
        <f t="shared" si="1"/>
        <v>⚠️</v>
      </c>
      <c r="K73" s="110" t="str">
        <f>IF(AND(B73="México",I73&gt;=5,G73&gt;=496,G73&lt;=499),"Alta frecuencia + monto umbral",
 IF(AND(I73&gt;=5,G73&gt;=496,G73&lt;=499),"Alta frecuencia + monto umbral",
 IF(AND(B73="México",I73&gt;=5,COUNTIF($E$4:E73,E73)&gt;=2),"Múltiples remitentes + alta frecuencia",
 IF(AND(COUNTIF($E$4:E73,E73)&gt;=2,I73&lt;5),"Múltiples remitentes",
 IF(I73&gt;=5,"Alta frecuencia",
 IF(AND(G73&gt;=496,G73&lt;=499,I73&gt;=4),"Monto recurrente debajo de umbral",
 IF(AND(G73&gt;=496,G73&lt;=499),"Monto cercano a umbral USD 500",
 IF(COUNTIF($E$4:E73,E73)&gt;=2,"Variación de remitente",
 "Normal"))))))))</f>
        <v>Alta frecuencia</v>
      </c>
      <c r="L73" s="61" t="str">
        <f>VLOOKUP(B73,'Caso 3 (Índice Exposición FT)'!$A$4:$I$7,9,FALSE)&amp;" ("&amp;VLOOKUP(B73,'Caso 3 (Índice Exposición FT)'!$A$4:$H$7,8,FALSE)&amp;")"</f>
        <v>CRÍTICO (82)</v>
      </c>
      <c r="M73" s="55" t="s">
        <v>1152</v>
      </c>
    </row>
    <row r="74" spans="1:13" ht="33.75" customHeight="1" x14ac:dyDescent="0.25">
      <c r="A74" s="75">
        <v>71</v>
      </c>
      <c r="B74" s="56" t="s">
        <v>81</v>
      </c>
      <c r="C74" s="56" t="s">
        <v>102</v>
      </c>
      <c r="D74" s="56" t="s">
        <v>116</v>
      </c>
      <c r="E74" s="56" t="s">
        <v>12</v>
      </c>
      <c r="F74" s="56" t="s">
        <v>1</v>
      </c>
      <c r="G74" s="76">
        <v>680</v>
      </c>
      <c r="H74" s="56" t="s">
        <v>777</v>
      </c>
      <c r="I74" s="75">
        <v>3</v>
      </c>
      <c r="J74" s="109" t="str">
        <f t="shared" si="1"/>
        <v>⚠️</v>
      </c>
      <c r="K74" s="110" t="str">
        <f>IF(AND(B74="México",I74&gt;=5,G74&gt;=496,G74&lt;=499),"Alta frecuencia + monto umbral",
 IF(AND(I74&gt;=5,G74&gt;=496,G74&lt;=499),"Alta frecuencia + monto umbral",
 IF(AND(B74="México",I74&gt;=5,COUNTIF($E$4:E74,E74)&gt;=2),"Múltiples remitentes + alta frecuencia",
 IF(AND(COUNTIF($E$4:E74,E74)&gt;=2,I74&lt;5),"Múltiples remitentes",
 IF(I74&gt;=5,"Alta frecuencia",
 IF(AND(G74&gt;=496,G74&lt;=499,I74&gt;=4),"Monto recurrente debajo de umbral",
 IF(AND(G74&gt;=496,G74&lt;=499),"Monto cercano a umbral USD 500",
 IF(COUNTIF($E$4:E74,E74)&gt;=2,"Variación de remitente",
 "Normal"))))))))</f>
        <v>Múltiples remitentes</v>
      </c>
      <c r="L74" s="61" t="str">
        <f>VLOOKUP(B74,'Caso 3 (Índice Exposición FT)'!$A$4:$I$7,9,FALSE)&amp;" ("&amp;VLOOKUP(B74,'Caso 3 (Índice Exposición FT)'!$A$4:$H$7,8,FALSE)&amp;")"</f>
        <v>ALTO (65)</v>
      </c>
      <c r="M74" s="56"/>
    </row>
    <row r="75" spans="1:13" ht="33.75" customHeight="1" x14ac:dyDescent="0.25">
      <c r="A75" s="59">
        <v>72</v>
      </c>
      <c r="B75" s="55" t="s">
        <v>81</v>
      </c>
      <c r="C75" s="55" t="s">
        <v>102</v>
      </c>
      <c r="D75" s="55" t="s">
        <v>1149</v>
      </c>
      <c r="E75" s="55" t="s">
        <v>13</v>
      </c>
      <c r="F75" s="55" t="s">
        <v>0</v>
      </c>
      <c r="G75" s="77">
        <v>499</v>
      </c>
      <c r="H75" s="55" t="s">
        <v>778</v>
      </c>
      <c r="I75" s="59">
        <v>5</v>
      </c>
      <c r="J75" s="109" t="str">
        <f t="shared" si="1"/>
        <v>⚠️</v>
      </c>
      <c r="K75" s="110" t="str">
        <f>IF(AND(B75="México",I75&gt;=5,G75&gt;=496,G75&lt;=499),"Alta frecuencia + monto umbral",
 IF(AND(I75&gt;=5,G75&gt;=496,G75&lt;=499),"Alta frecuencia + monto umbral",
 IF(AND(B75="México",I75&gt;=5,COUNTIF($E$4:E75,E75)&gt;=2),"Múltiples remitentes + alta frecuencia",
 IF(AND(COUNTIF($E$4:E75,E75)&gt;=2,I75&lt;5),"Múltiples remitentes",
 IF(I75&gt;=5,"Alta frecuencia",
 IF(AND(G75&gt;=496,G75&lt;=499,I75&gt;=4),"Monto recurrente debajo de umbral",
 IF(AND(G75&gt;=496,G75&lt;=499),"Monto cercano a umbral USD 500",
 IF(COUNTIF($E$4:E75,E75)&gt;=2,"Variación de remitente",
 "Normal"))))))))</f>
        <v>Alta frecuencia + monto umbral</v>
      </c>
      <c r="L75" s="61" t="str">
        <f>VLOOKUP(B75,'Caso 3 (Índice Exposición FT)'!$A$4:$I$7,9,FALSE)&amp;" ("&amp;VLOOKUP(B75,'Caso 3 (Índice Exposición FT)'!$A$4:$H$7,8,FALSE)&amp;")"</f>
        <v>ALTO (65)</v>
      </c>
      <c r="M75" s="55" t="s">
        <v>1151</v>
      </c>
    </row>
    <row r="76" spans="1:13" ht="33.75" customHeight="1" x14ac:dyDescent="0.25">
      <c r="A76" s="75">
        <v>73</v>
      </c>
      <c r="B76" s="56" t="s">
        <v>82</v>
      </c>
      <c r="C76" s="56" t="s">
        <v>82</v>
      </c>
      <c r="D76" s="56" t="s">
        <v>103</v>
      </c>
      <c r="E76" s="56" t="s">
        <v>14</v>
      </c>
      <c r="F76" s="56" t="s">
        <v>7</v>
      </c>
      <c r="G76" s="76">
        <v>2150</v>
      </c>
      <c r="H76" s="56" t="s">
        <v>779</v>
      </c>
      <c r="I76" s="75">
        <v>6</v>
      </c>
      <c r="J76" s="109" t="str">
        <f t="shared" si="1"/>
        <v>⚠️</v>
      </c>
      <c r="K76" s="110" t="str">
        <f>IF(AND(B76="México",I76&gt;=5,G76&gt;=496,G76&lt;=499),"Alta frecuencia + monto umbral",
 IF(AND(I76&gt;=5,G76&gt;=496,G76&lt;=499),"Alta frecuencia + monto umbral",
 IF(AND(B76="México",I76&gt;=5,COUNTIF($E$4:E76,E76)&gt;=2),"Múltiples remitentes + alta frecuencia",
 IF(AND(COUNTIF($E$4:E76,E76)&gt;=2,I76&lt;5),"Múltiples remitentes",
 IF(I76&gt;=5,"Alta frecuencia",
 IF(AND(G76&gt;=496,G76&lt;=499,I76&gt;=4),"Monto recurrente debajo de umbral",
 IF(AND(G76&gt;=496,G76&lt;=499),"Monto cercano a umbral USD 500",
 IF(COUNTIF($E$4:E76,E76)&gt;=2,"Variación de remitente",
 "Normal"))))))))</f>
        <v>Múltiples remitentes + alta frecuencia</v>
      </c>
      <c r="L76" s="61" t="str">
        <f>VLOOKUP(B76,'Caso 3 (Índice Exposición FT)'!$A$4:$I$7,9,FALSE)&amp;" ("&amp;VLOOKUP(B76,'Caso 3 (Índice Exposición FT)'!$A$4:$H$7,8,FALSE)&amp;")"</f>
        <v>CRÍTICO (82)</v>
      </c>
      <c r="M76" s="56" t="s">
        <v>1150</v>
      </c>
    </row>
    <row r="77" spans="1:13" ht="33.75" customHeight="1" x14ac:dyDescent="0.25">
      <c r="A77" s="59">
        <v>74</v>
      </c>
      <c r="B77" s="55" t="s">
        <v>83</v>
      </c>
      <c r="C77" s="55" t="s">
        <v>83</v>
      </c>
      <c r="D77" s="55" t="s">
        <v>113</v>
      </c>
      <c r="E77" s="55" t="s">
        <v>15</v>
      </c>
      <c r="F77" s="55" t="s">
        <v>8</v>
      </c>
      <c r="G77" s="77">
        <v>970</v>
      </c>
      <c r="H77" s="55" t="s">
        <v>780</v>
      </c>
      <c r="I77" s="59">
        <v>2</v>
      </c>
      <c r="J77" s="109" t="str">
        <f t="shared" si="1"/>
        <v>⚠️</v>
      </c>
      <c r="K77" s="110" t="str">
        <f>IF(AND(B77="México",I77&gt;=5,G77&gt;=496,G77&lt;=499),"Alta frecuencia + monto umbral",
 IF(AND(I77&gt;=5,G77&gt;=496,G77&lt;=499),"Alta frecuencia + monto umbral",
 IF(AND(B77="México",I77&gt;=5,COUNTIF($E$4:E77,E77)&gt;=2),"Múltiples remitentes + alta frecuencia",
 IF(AND(COUNTIF($E$4:E77,E77)&gt;=2,I77&lt;5),"Múltiples remitentes",
 IF(I77&gt;=5,"Alta frecuencia",
 IF(AND(G77&gt;=496,G77&lt;=499,I77&gt;=4),"Monto recurrente debajo de umbral",
 IF(AND(G77&gt;=496,G77&lt;=499),"Monto cercano a umbral USD 500",
 IF(COUNTIF($E$4:E77,E77)&gt;=2,"Variación de remitente",
 "Normal"))))))))</f>
        <v>Múltiples remitentes</v>
      </c>
      <c r="L77" s="61" t="str">
        <f>VLOOKUP(B77,'Caso 3 (Índice Exposición FT)'!$A$4:$I$7,9,FALSE)&amp;" ("&amp;VLOOKUP(B77,'Caso 3 (Índice Exposición FT)'!$A$4:$H$7,8,FALSE)&amp;")"</f>
        <v>MEDIO (39.5)</v>
      </c>
      <c r="M77" s="55"/>
    </row>
    <row r="78" spans="1:13" ht="33.75" customHeight="1" x14ac:dyDescent="0.25">
      <c r="A78" s="75">
        <v>75</v>
      </c>
      <c r="B78" s="56" t="s">
        <v>82</v>
      </c>
      <c r="C78" s="56" t="s">
        <v>82</v>
      </c>
      <c r="D78" s="56" t="s">
        <v>107</v>
      </c>
      <c r="E78" s="56" t="s">
        <v>16</v>
      </c>
      <c r="F78" s="56" t="s">
        <v>9</v>
      </c>
      <c r="G78" s="76">
        <v>2480</v>
      </c>
      <c r="H78" s="56" t="s">
        <v>780</v>
      </c>
      <c r="I78" s="75">
        <v>8</v>
      </c>
      <c r="J78" s="109" t="str">
        <f t="shared" si="1"/>
        <v>⚠️</v>
      </c>
      <c r="K78" s="110" t="str">
        <f>IF(AND(B78="México",I78&gt;=5,G78&gt;=496,G78&lt;=499),"Alta frecuencia + monto umbral",
 IF(AND(I78&gt;=5,G78&gt;=496,G78&lt;=499),"Alta frecuencia + monto umbral",
 IF(AND(B78="México",I78&gt;=5,COUNTIF($E$4:E78,E78)&gt;=2),"Múltiples remitentes + alta frecuencia",
 IF(AND(COUNTIF($E$4:E78,E78)&gt;=2,I78&lt;5),"Múltiples remitentes",
 IF(I78&gt;=5,"Alta frecuencia",
 IF(AND(G78&gt;=496,G78&lt;=499,I78&gt;=4),"Monto recurrente debajo de umbral",
 IF(AND(G78&gt;=496,G78&lt;=499),"Monto cercano a umbral USD 500",
 IF(COUNTIF($E$4:E78,E78)&gt;=2,"Variación de remitente",
 "Normal"))))))))</f>
        <v>Múltiples remitentes + alta frecuencia</v>
      </c>
      <c r="L78" s="61" t="str">
        <f>VLOOKUP(B78,'Caso 3 (Índice Exposición FT)'!$A$4:$I$7,9,FALSE)&amp;" ("&amp;VLOOKUP(B78,'Caso 3 (Índice Exposición FT)'!$A$4:$H$7,8,FALSE)&amp;")"</f>
        <v>CRÍTICO (82)</v>
      </c>
      <c r="M78" s="56" t="s">
        <v>1152</v>
      </c>
    </row>
    <row r="79" spans="1:13" ht="33.75" customHeight="1" x14ac:dyDescent="0.25">
      <c r="A79" s="59">
        <v>76</v>
      </c>
      <c r="B79" s="55" t="s">
        <v>81</v>
      </c>
      <c r="C79" s="55" t="s">
        <v>102</v>
      </c>
      <c r="D79" s="55" t="s">
        <v>105</v>
      </c>
      <c r="E79" s="55" t="s">
        <v>17</v>
      </c>
      <c r="F79" s="55" t="s">
        <v>4</v>
      </c>
      <c r="G79" s="77">
        <v>750</v>
      </c>
      <c r="H79" s="55" t="s">
        <v>689</v>
      </c>
      <c r="I79" s="59">
        <v>4</v>
      </c>
      <c r="J79" s="109" t="str">
        <f t="shared" si="1"/>
        <v>⚠️</v>
      </c>
      <c r="K79" s="110" t="str">
        <f>IF(AND(B79="México",I79&gt;=5,G79&gt;=496,G79&lt;=499),"Alta frecuencia + monto umbral",
 IF(AND(I79&gt;=5,G79&gt;=496,G79&lt;=499),"Alta frecuencia + monto umbral",
 IF(AND(B79="México",I79&gt;=5,COUNTIF($E$4:E79,E79)&gt;=2),"Múltiples remitentes + alta frecuencia",
 IF(AND(COUNTIF($E$4:E79,E79)&gt;=2,I79&lt;5),"Múltiples remitentes",
 IF(I79&gt;=5,"Alta frecuencia",
 IF(AND(G79&gt;=496,G79&lt;=499,I79&gt;=4),"Monto recurrente debajo de umbral",
 IF(AND(G79&gt;=496,G79&lt;=499),"Monto cercano a umbral USD 500",
 IF(COUNTIF($E$4:E79,E79)&gt;=2,"Variación de remitente",
 "Normal"))))))))</f>
        <v>Múltiples remitentes</v>
      </c>
      <c r="L79" s="61" t="str">
        <f>VLOOKUP(B79,'Caso 3 (Índice Exposición FT)'!$A$4:$I$7,9,FALSE)&amp;" ("&amp;VLOOKUP(B79,'Caso 3 (Índice Exposición FT)'!$A$4:$H$7,8,FALSE)&amp;")"</f>
        <v>ALTO (65)</v>
      </c>
      <c r="M79" s="55"/>
    </row>
    <row r="80" spans="1:13" ht="33.75" customHeight="1" x14ac:dyDescent="0.25">
      <c r="A80" s="75">
        <v>77</v>
      </c>
      <c r="B80" s="56" t="s">
        <v>82</v>
      </c>
      <c r="C80" s="56" t="s">
        <v>82</v>
      </c>
      <c r="D80" s="56" t="s">
        <v>110</v>
      </c>
      <c r="E80" s="56" t="s">
        <v>18</v>
      </c>
      <c r="F80" s="56" t="s">
        <v>0</v>
      </c>
      <c r="G80" s="76">
        <v>497</v>
      </c>
      <c r="H80" s="56" t="s">
        <v>687</v>
      </c>
      <c r="I80" s="75">
        <v>7</v>
      </c>
      <c r="J80" s="109" t="str">
        <f t="shared" si="1"/>
        <v>⚠️</v>
      </c>
      <c r="K80" s="110" t="str">
        <f>IF(AND(B80="México",I80&gt;=5,G80&gt;=496,G80&lt;=499),"Alta frecuencia + monto umbral",
 IF(AND(I80&gt;=5,G80&gt;=496,G80&lt;=499),"Alta frecuencia + monto umbral",
 IF(AND(B80="México",I80&gt;=5,COUNTIF($E$4:E80,E80)&gt;=2),"Múltiples remitentes + alta frecuencia",
 IF(AND(COUNTIF($E$4:E80,E80)&gt;=2,I80&lt;5),"Múltiples remitentes",
 IF(I80&gt;=5,"Alta frecuencia",
 IF(AND(G80&gt;=496,G80&lt;=499,I80&gt;=4),"Monto recurrente debajo de umbral",
 IF(AND(G80&gt;=496,G80&lt;=499),"Monto cercano a umbral USD 500",
 IF(COUNTIF($E$4:E80,E80)&gt;=2,"Variación de remitente",
 "Normal"))))))))</f>
        <v>Alta frecuencia + monto umbral</v>
      </c>
      <c r="L80" s="61" t="str">
        <f>VLOOKUP(B80,'Caso 3 (Índice Exposición FT)'!$A$4:$I$7,9,FALSE)&amp;" ("&amp;VLOOKUP(B80,'Caso 3 (Índice Exposición FT)'!$A$4:$H$7,8,FALSE)&amp;")"</f>
        <v>CRÍTICO (82)</v>
      </c>
      <c r="M80" s="56" t="s">
        <v>1151</v>
      </c>
    </row>
    <row r="81" spans="1:13" ht="33.75" customHeight="1" x14ac:dyDescent="0.25">
      <c r="A81" s="59">
        <v>78</v>
      </c>
      <c r="B81" s="55" t="s">
        <v>81</v>
      </c>
      <c r="C81" s="55" t="s">
        <v>102</v>
      </c>
      <c r="D81" s="55" t="s">
        <v>112</v>
      </c>
      <c r="E81" s="55" t="s">
        <v>10</v>
      </c>
      <c r="F81" s="55" t="s">
        <v>3</v>
      </c>
      <c r="G81" s="77">
        <v>1280</v>
      </c>
      <c r="H81" s="55" t="s">
        <v>705</v>
      </c>
      <c r="I81" s="59">
        <v>3</v>
      </c>
      <c r="J81" s="109" t="str">
        <f t="shared" si="1"/>
        <v>⚠️</v>
      </c>
      <c r="K81" s="110" t="str">
        <f>IF(AND(B81="México",I81&gt;=5,G81&gt;=496,G81&lt;=499),"Alta frecuencia + monto umbral",
 IF(AND(I81&gt;=5,G81&gt;=496,G81&lt;=499),"Alta frecuencia + monto umbral",
 IF(AND(B81="México",I81&gt;=5,COUNTIF($E$4:E81,E81)&gt;=2),"Múltiples remitentes + alta frecuencia",
 IF(AND(COUNTIF($E$4:E81,E81)&gt;=2,I81&lt;5),"Múltiples remitentes",
 IF(I81&gt;=5,"Alta frecuencia",
 IF(AND(G81&gt;=496,G81&lt;=499,I81&gt;=4),"Monto recurrente debajo de umbral",
 IF(AND(G81&gt;=496,G81&lt;=499),"Monto cercano a umbral USD 500",
 IF(COUNTIF($E$4:E81,E81)&gt;=2,"Variación de remitente",
 "Normal"))))))))</f>
        <v>Múltiples remitentes</v>
      </c>
      <c r="L81" s="61" t="str">
        <f>VLOOKUP(B81,'Caso 3 (Índice Exposición FT)'!$A$4:$I$7,9,FALSE)&amp;" ("&amp;VLOOKUP(B81,'Caso 3 (Índice Exposición FT)'!$A$4:$H$7,8,FALSE)&amp;")"</f>
        <v>ALTO (65)</v>
      </c>
      <c r="M81" s="55"/>
    </row>
    <row r="82" spans="1:13" ht="33.75" customHeight="1" x14ac:dyDescent="0.25">
      <c r="A82" s="75">
        <v>79</v>
      </c>
      <c r="B82" s="56" t="s">
        <v>83</v>
      </c>
      <c r="C82" s="56" t="s">
        <v>83</v>
      </c>
      <c r="D82" s="56" t="s">
        <v>106</v>
      </c>
      <c r="E82" s="56" t="s">
        <v>19</v>
      </c>
      <c r="F82" s="56" t="s">
        <v>1</v>
      </c>
      <c r="G82" s="76">
        <v>1120</v>
      </c>
      <c r="H82" s="56" t="s">
        <v>837</v>
      </c>
      <c r="I82" s="75">
        <v>4</v>
      </c>
      <c r="J82" s="109" t="str">
        <f t="shared" si="1"/>
        <v>⚠️</v>
      </c>
      <c r="K82" s="110" t="str">
        <f>IF(AND(B82="México",I82&gt;=5,G82&gt;=496,G82&lt;=499),"Alta frecuencia + monto umbral",
 IF(AND(I82&gt;=5,G82&gt;=496,G82&lt;=499),"Alta frecuencia + monto umbral",
 IF(AND(B82="México",I82&gt;=5,COUNTIF($E$4:E82,E82)&gt;=2),"Múltiples remitentes + alta frecuencia",
 IF(AND(COUNTIF($E$4:E82,E82)&gt;=2,I82&lt;5),"Múltiples remitentes",
 IF(I82&gt;=5,"Alta frecuencia",
 IF(AND(G82&gt;=496,G82&lt;=499,I82&gt;=4),"Monto recurrente debajo de umbral",
 IF(AND(G82&gt;=496,G82&lt;=499),"Monto cercano a umbral USD 500",
 IF(COUNTIF($E$4:E82,E82)&gt;=2,"Variación de remitente",
 "Normal"))))))))</f>
        <v>Múltiples remitentes</v>
      </c>
      <c r="L82" s="61" t="str">
        <f>VLOOKUP(B82,'Caso 3 (Índice Exposición FT)'!$A$4:$I$7,9,FALSE)&amp;" ("&amp;VLOOKUP(B82,'Caso 3 (Índice Exposición FT)'!$A$4:$H$7,8,FALSE)&amp;")"</f>
        <v>MEDIO (39.5)</v>
      </c>
      <c r="M82" s="56"/>
    </row>
    <row r="83" spans="1:13" ht="33.75" customHeight="1" x14ac:dyDescent="0.25">
      <c r="A83" s="59">
        <v>80</v>
      </c>
      <c r="B83" s="55" t="s">
        <v>82</v>
      </c>
      <c r="C83" s="55" t="s">
        <v>82</v>
      </c>
      <c r="D83" s="55" t="s">
        <v>115</v>
      </c>
      <c r="E83" s="55" t="s">
        <v>20</v>
      </c>
      <c r="F83" s="55" t="s">
        <v>5</v>
      </c>
      <c r="G83" s="77">
        <v>2350</v>
      </c>
      <c r="H83" s="55" t="s">
        <v>847</v>
      </c>
      <c r="I83" s="59">
        <v>6</v>
      </c>
      <c r="J83" s="109" t="str">
        <f t="shared" si="1"/>
        <v>⚠️</v>
      </c>
      <c r="K83" s="110" t="str">
        <f>IF(AND(B83="México",I83&gt;=5,G83&gt;=496,G83&lt;=499),"Alta frecuencia + monto umbral",
 IF(AND(I83&gt;=5,G83&gt;=496,G83&lt;=499),"Alta frecuencia + monto umbral",
 IF(AND(B83="México",I83&gt;=5,COUNTIF($E$4:E83,E83)&gt;=2),"Múltiples remitentes + alta frecuencia",
 IF(AND(COUNTIF($E$4:E83,E83)&gt;=2,I83&lt;5),"Múltiples remitentes",
 IF(I83&gt;=5,"Alta frecuencia",
 IF(AND(G83&gt;=496,G83&lt;=499,I83&gt;=4),"Monto recurrente debajo de umbral",
 IF(AND(G83&gt;=496,G83&lt;=499),"Monto cercano a umbral USD 500",
 IF(COUNTIF($E$4:E83,E83)&gt;=2,"Variación de remitente",
 "Normal"))))))))</f>
        <v>Múltiples remitentes + alta frecuencia</v>
      </c>
      <c r="L83" s="61" t="str">
        <f>VLOOKUP(B83,'Caso 3 (Índice Exposición FT)'!$A$4:$I$7,9,FALSE)&amp;" ("&amp;VLOOKUP(B83,'Caso 3 (Índice Exposición FT)'!$A$4:$H$7,8,FALSE)&amp;")"</f>
        <v>CRÍTICO (82)</v>
      </c>
      <c r="M83" s="55" t="s">
        <v>1150</v>
      </c>
    </row>
    <row r="84" spans="1:13" ht="33.75" customHeight="1" x14ac:dyDescent="0.25">
      <c r="A84" s="75">
        <v>81</v>
      </c>
      <c r="B84" s="56" t="s">
        <v>81</v>
      </c>
      <c r="C84" s="56" t="s">
        <v>102</v>
      </c>
      <c r="D84" s="56" t="s">
        <v>109</v>
      </c>
      <c r="E84" s="56" t="s">
        <v>21</v>
      </c>
      <c r="F84" s="56" t="s">
        <v>2</v>
      </c>
      <c r="G84" s="76">
        <v>690</v>
      </c>
      <c r="H84" s="56" t="s">
        <v>774</v>
      </c>
      <c r="I84" s="75">
        <v>3</v>
      </c>
      <c r="J84" s="109" t="str">
        <f t="shared" si="1"/>
        <v>⚠️</v>
      </c>
      <c r="K84" s="110" t="str">
        <f>IF(AND(B84="México",I84&gt;=5,G84&gt;=496,G84&lt;=499),"Alta frecuencia + monto umbral",
 IF(AND(I84&gt;=5,G84&gt;=496,G84&lt;=499),"Alta frecuencia + monto umbral",
 IF(AND(B84="México",I84&gt;=5,COUNTIF($E$4:E84,E84)&gt;=2),"Múltiples remitentes + alta frecuencia",
 IF(AND(COUNTIF($E$4:E84,E84)&gt;=2,I84&lt;5),"Múltiples remitentes",
 IF(I84&gt;=5,"Alta frecuencia",
 IF(AND(G84&gt;=496,G84&lt;=499,I84&gt;=4),"Monto recurrente debajo de umbral",
 IF(AND(G84&gt;=496,G84&lt;=499),"Monto cercano a umbral USD 500",
 IF(COUNTIF($E$4:E84,E84)&gt;=2,"Variación de remitente",
 "Normal"))))))))</f>
        <v>Múltiples remitentes</v>
      </c>
      <c r="L84" s="61" t="str">
        <f>VLOOKUP(B84,'Caso 3 (Índice Exposición FT)'!$A$4:$I$7,9,FALSE)&amp;" ("&amp;VLOOKUP(B84,'Caso 3 (Índice Exposición FT)'!$A$4:$H$7,8,FALSE)&amp;")"</f>
        <v>ALTO (65)</v>
      </c>
      <c r="M84" s="56"/>
    </row>
    <row r="85" spans="1:13" ht="33.75" customHeight="1" x14ac:dyDescent="0.25">
      <c r="A85" s="59">
        <v>82</v>
      </c>
      <c r="B85" s="55" t="s">
        <v>81</v>
      </c>
      <c r="C85" s="55" t="s">
        <v>102</v>
      </c>
      <c r="D85" s="55" t="s">
        <v>1149</v>
      </c>
      <c r="E85" s="55" t="s">
        <v>22</v>
      </c>
      <c r="F85" s="55" t="s">
        <v>6</v>
      </c>
      <c r="G85" s="77">
        <v>499</v>
      </c>
      <c r="H85" s="55" t="s">
        <v>764</v>
      </c>
      <c r="I85" s="59">
        <v>5</v>
      </c>
      <c r="J85" s="109" t="str">
        <f t="shared" si="1"/>
        <v>⚠️</v>
      </c>
      <c r="K85" s="110" t="str">
        <f>IF(AND(B85="México",I85&gt;=5,G85&gt;=496,G85&lt;=499),"Alta frecuencia + monto umbral",
 IF(AND(I85&gt;=5,G85&gt;=496,G85&lt;=499),"Alta frecuencia + monto umbral",
 IF(AND(B85="México",I85&gt;=5,COUNTIF($E$4:E85,E85)&gt;=2),"Múltiples remitentes + alta frecuencia",
 IF(AND(COUNTIF($E$4:E85,E85)&gt;=2,I85&lt;5),"Múltiples remitentes",
 IF(I85&gt;=5,"Alta frecuencia",
 IF(AND(G85&gt;=496,G85&lt;=499,I85&gt;=4),"Monto recurrente debajo de umbral",
 IF(AND(G85&gt;=496,G85&lt;=499),"Monto cercano a umbral USD 500",
 IF(COUNTIF($E$4:E85,E85)&gt;=2,"Variación de remitente",
 "Normal"))))))))</f>
        <v>Alta frecuencia + monto umbral</v>
      </c>
      <c r="L85" s="61" t="str">
        <f>VLOOKUP(B85,'Caso 3 (Índice Exposición FT)'!$A$4:$I$7,9,FALSE)&amp;" ("&amp;VLOOKUP(B85,'Caso 3 (Índice Exposición FT)'!$A$4:$H$7,8,FALSE)&amp;")"</f>
        <v>ALTO (65)</v>
      </c>
      <c r="M85" s="55" t="s">
        <v>1151</v>
      </c>
    </row>
    <row r="86" spans="1:13" ht="33.75" customHeight="1" x14ac:dyDescent="0.25">
      <c r="A86" s="75">
        <v>83</v>
      </c>
      <c r="B86" s="56" t="s">
        <v>82</v>
      </c>
      <c r="C86" s="56" t="s">
        <v>82</v>
      </c>
      <c r="D86" s="56" t="s">
        <v>103</v>
      </c>
      <c r="E86" s="56" t="s">
        <v>23</v>
      </c>
      <c r="F86" s="56" t="s">
        <v>7</v>
      </c>
      <c r="G86" s="76">
        <v>1980</v>
      </c>
      <c r="H86" s="56" t="s">
        <v>767</v>
      </c>
      <c r="I86" s="75">
        <v>5</v>
      </c>
      <c r="J86" s="109" t="str">
        <f t="shared" si="1"/>
        <v>⚠️</v>
      </c>
      <c r="K86" s="110" t="str">
        <f>IF(AND(B86="México",I86&gt;=5,G86&gt;=496,G86&lt;=499),"Alta frecuencia + monto umbral",
 IF(AND(I86&gt;=5,G86&gt;=496,G86&lt;=499),"Alta frecuencia + monto umbral",
 IF(AND(B86="México",I86&gt;=5,COUNTIF($E$4:E86,E86)&gt;=2),"Múltiples remitentes + alta frecuencia",
 IF(AND(COUNTIF($E$4:E86,E86)&gt;=2,I86&lt;5),"Múltiples remitentes",
 IF(I86&gt;=5,"Alta frecuencia",
 IF(AND(G86&gt;=496,G86&lt;=499,I86&gt;=4),"Monto recurrente debajo de umbral",
 IF(AND(G86&gt;=496,G86&lt;=499),"Monto cercano a umbral USD 500",
 IF(COUNTIF($E$4:E86,E86)&gt;=2,"Variación de remitente",
 "Normal"))))))))</f>
        <v>Múltiples remitentes + alta frecuencia</v>
      </c>
      <c r="L86" s="61" t="str">
        <f>VLOOKUP(B86,'Caso 3 (Índice Exposición FT)'!$A$4:$I$7,9,FALSE)&amp;" ("&amp;VLOOKUP(B86,'Caso 3 (Índice Exposición FT)'!$A$4:$H$7,8,FALSE)&amp;")"</f>
        <v>CRÍTICO (82)</v>
      </c>
      <c r="M86" s="56"/>
    </row>
    <row r="87" spans="1:13" ht="33.75" customHeight="1" x14ac:dyDescent="0.25">
      <c r="A87" s="59">
        <v>84</v>
      </c>
      <c r="B87" s="55" t="s">
        <v>81</v>
      </c>
      <c r="C87" s="55" t="s">
        <v>102</v>
      </c>
      <c r="D87" s="55" t="s">
        <v>105</v>
      </c>
      <c r="E87" s="55" t="s">
        <v>24</v>
      </c>
      <c r="F87" s="55" t="s">
        <v>0</v>
      </c>
      <c r="G87" s="77">
        <v>880</v>
      </c>
      <c r="H87" s="55" t="s">
        <v>770</v>
      </c>
      <c r="I87" s="59">
        <v>2</v>
      </c>
      <c r="J87" s="109" t="str">
        <f t="shared" si="1"/>
        <v>⚠️</v>
      </c>
      <c r="K87" s="110" t="str">
        <f>IF(AND(B87="México",I87&gt;=5,G87&gt;=496,G87&lt;=499),"Alta frecuencia + monto umbral",
 IF(AND(I87&gt;=5,G87&gt;=496,G87&lt;=499),"Alta frecuencia + monto umbral",
 IF(AND(B87="México",I87&gt;=5,COUNTIF($E$4:E87,E87)&gt;=2),"Múltiples remitentes + alta frecuencia",
 IF(AND(COUNTIF($E$4:E87,E87)&gt;=2,I87&lt;5),"Múltiples remitentes",
 IF(I87&gt;=5,"Alta frecuencia",
 IF(AND(G87&gt;=496,G87&lt;=499,I87&gt;=4),"Monto recurrente debajo de umbral",
 IF(AND(G87&gt;=496,G87&lt;=499),"Monto cercano a umbral USD 500",
 IF(COUNTIF($E$4:E87,E87)&gt;=2,"Variación de remitente",
 "Normal"))))))))</f>
        <v>Múltiples remitentes</v>
      </c>
      <c r="L87" s="61" t="str">
        <f>VLOOKUP(B87,'Caso 3 (Índice Exposición FT)'!$A$4:$I$7,9,FALSE)&amp;" ("&amp;VLOOKUP(B87,'Caso 3 (Índice Exposición FT)'!$A$4:$H$7,8,FALSE)&amp;")"</f>
        <v>ALTO (65)</v>
      </c>
      <c r="M87" s="55"/>
    </row>
    <row r="88" spans="1:13" ht="33.75" customHeight="1" x14ac:dyDescent="0.25">
      <c r="A88" s="75">
        <v>85</v>
      </c>
      <c r="B88" s="56" t="s">
        <v>82</v>
      </c>
      <c r="C88" s="56" t="s">
        <v>82</v>
      </c>
      <c r="D88" s="56" t="s">
        <v>107</v>
      </c>
      <c r="E88" s="56" t="s">
        <v>25</v>
      </c>
      <c r="F88" s="56" t="s">
        <v>1</v>
      </c>
      <c r="G88" s="76">
        <v>2700</v>
      </c>
      <c r="H88" s="56" t="s">
        <v>728</v>
      </c>
      <c r="I88" s="75">
        <v>9</v>
      </c>
      <c r="J88" s="109" t="str">
        <f t="shared" si="1"/>
        <v>⚠️</v>
      </c>
      <c r="K88" s="110" t="str">
        <f>IF(AND(B88="México",I88&gt;=5,G88&gt;=496,G88&lt;=499),"Alta frecuencia + monto umbral",
 IF(AND(I88&gt;=5,G88&gt;=496,G88&lt;=499),"Alta frecuencia + monto umbral",
 IF(AND(B88="México",I88&gt;=5,COUNTIF($E$4:E88,E88)&gt;=2),"Múltiples remitentes + alta frecuencia",
 IF(AND(COUNTIF($E$4:E88,E88)&gt;=2,I88&lt;5),"Múltiples remitentes",
 IF(I88&gt;=5,"Alta frecuencia",
 IF(AND(G88&gt;=496,G88&lt;=499,I88&gt;=4),"Monto recurrente debajo de umbral",
 IF(AND(G88&gt;=496,G88&lt;=499),"Monto cercano a umbral USD 500",
 IF(COUNTIF($E$4:E88,E88)&gt;=2,"Variación de remitente",
 "Normal"))))))))</f>
        <v>Múltiples remitentes + alta frecuencia</v>
      </c>
      <c r="L88" s="61" t="str">
        <f>VLOOKUP(B88,'Caso 3 (Índice Exposición FT)'!$A$4:$I$7,9,FALSE)&amp;" ("&amp;VLOOKUP(B88,'Caso 3 (Índice Exposición FT)'!$A$4:$H$7,8,FALSE)&amp;")"</f>
        <v>CRÍTICO (82)</v>
      </c>
      <c r="M88" s="56" t="s">
        <v>1152</v>
      </c>
    </row>
    <row r="89" spans="1:13" ht="33.75" customHeight="1" x14ac:dyDescent="0.25">
      <c r="A89" s="59">
        <v>86</v>
      </c>
      <c r="B89" s="55" t="s">
        <v>83</v>
      </c>
      <c r="C89" s="55" t="s">
        <v>83</v>
      </c>
      <c r="D89" s="55" t="s">
        <v>113</v>
      </c>
      <c r="E89" s="55" t="s">
        <v>26</v>
      </c>
      <c r="F89" s="55" t="s">
        <v>8</v>
      </c>
      <c r="G89" s="77">
        <v>1010</v>
      </c>
      <c r="H89" s="55" t="s">
        <v>735</v>
      </c>
      <c r="I89" s="59">
        <v>3</v>
      </c>
      <c r="J89" s="109" t="str">
        <f t="shared" si="1"/>
        <v>⚠️</v>
      </c>
      <c r="K89" s="110" t="str">
        <f>IF(AND(B89="México",I89&gt;=5,G89&gt;=496,G89&lt;=499),"Alta frecuencia + monto umbral",
 IF(AND(I89&gt;=5,G89&gt;=496,G89&lt;=499),"Alta frecuencia + monto umbral",
 IF(AND(B89="México",I89&gt;=5,COUNTIF($E$4:E89,E89)&gt;=2),"Múltiples remitentes + alta frecuencia",
 IF(AND(COUNTIF($E$4:E89,E89)&gt;=2,I89&lt;5),"Múltiples remitentes",
 IF(I89&gt;=5,"Alta frecuencia",
 IF(AND(G89&gt;=496,G89&lt;=499,I89&gt;=4),"Monto recurrente debajo de umbral",
 IF(AND(G89&gt;=496,G89&lt;=499),"Monto cercano a umbral USD 500",
 IF(COUNTIF($E$4:E89,E89)&gt;=2,"Variación de remitente",
 "Normal"))))))))</f>
        <v>Múltiples remitentes</v>
      </c>
      <c r="L89" s="61" t="str">
        <f>VLOOKUP(B89,'Caso 3 (Índice Exposición FT)'!$A$4:$I$7,9,FALSE)&amp;" ("&amp;VLOOKUP(B89,'Caso 3 (Índice Exposición FT)'!$A$4:$H$7,8,FALSE)&amp;")"</f>
        <v>MEDIO (39.5)</v>
      </c>
      <c r="M89" s="55"/>
    </row>
    <row r="90" spans="1:13" ht="33.75" customHeight="1" x14ac:dyDescent="0.25">
      <c r="A90" s="75">
        <v>87</v>
      </c>
      <c r="B90" s="56" t="s">
        <v>82</v>
      </c>
      <c r="C90" s="56" t="s">
        <v>82</v>
      </c>
      <c r="D90" s="56" t="s">
        <v>110</v>
      </c>
      <c r="E90" s="56" t="s">
        <v>27</v>
      </c>
      <c r="F90" s="56" t="s">
        <v>3</v>
      </c>
      <c r="G90" s="76">
        <v>496</v>
      </c>
      <c r="H90" s="56" t="s">
        <v>741</v>
      </c>
      <c r="I90" s="75">
        <v>8</v>
      </c>
      <c r="J90" s="109" t="str">
        <f t="shared" si="1"/>
        <v>⚠️</v>
      </c>
      <c r="K90" s="110" t="str">
        <f>IF(AND(B90="México",I90&gt;=5,G90&gt;=496,G90&lt;=499),"Alta frecuencia + monto umbral",
 IF(AND(I90&gt;=5,G90&gt;=496,G90&lt;=499),"Alta frecuencia + monto umbral",
 IF(AND(B90="México",I90&gt;=5,COUNTIF($E$4:E90,E90)&gt;=2),"Múltiples remitentes + alta frecuencia",
 IF(AND(COUNTIF($E$4:E90,E90)&gt;=2,I90&lt;5),"Múltiples remitentes",
 IF(I90&gt;=5,"Alta frecuencia",
 IF(AND(G90&gt;=496,G90&lt;=499,I90&gt;=4),"Monto recurrente debajo de umbral",
 IF(AND(G90&gt;=496,G90&lt;=499),"Monto cercano a umbral USD 500",
 IF(COUNTIF($E$4:E90,E90)&gt;=2,"Variación de remitente",
 "Normal"))))))))</f>
        <v>Alta frecuencia + monto umbral</v>
      </c>
      <c r="L90" s="61" t="str">
        <f>VLOOKUP(B90,'Caso 3 (Índice Exposición FT)'!$A$4:$I$7,9,FALSE)&amp;" ("&amp;VLOOKUP(B90,'Caso 3 (Índice Exposición FT)'!$A$4:$H$7,8,FALSE)&amp;")"</f>
        <v>CRÍTICO (82)</v>
      </c>
      <c r="M90" s="56" t="s">
        <v>1151</v>
      </c>
    </row>
    <row r="91" spans="1:13" ht="33.75" customHeight="1" x14ac:dyDescent="0.25">
      <c r="A91" s="59">
        <v>88</v>
      </c>
      <c r="B91" s="55" t="s">
        <v>81</v>
      </c>
      <c r="C91" s="55" t="s">
        <v>102</v>
      </c>
      <c r="D91" s="55" t="s">
        <v>112</v>
      </c>
      <c r="E91" s="55" t="s">
        <v>28</v>
      </c>
      <c r="F91" s="55" t="s">
        <v>9</v>
      </c>
      <c r="G91" s="77">
        <v>1190</v>
      </c>
      <c r="H91" s="55" t="s">
        <v>681</v>
      </c>
      <c r="I91" s="59">
        <v>2</v>
      </c>
      <c r="J91" s="109" t="str">
        <f t="shared" si="1"/>
        <v>⚠️</v>
      </c>
      <c r="K91" s="110" t="str">
        <f>IF(AND(B91="México",I91&gt;=5,G91&gt;=496,G91&lt;=499),"Alta frecuencia + monto umbral",
 IF(AND(I91&gt;=5,G91&gt;=496,G91&lt;=499),"Alta frecuencia + monto umbral",
 IF(AND(B91="México",I91&gt;=5,COUNTIF($E$4:E91,E91)&gt;=2),"Múltiples remitentes + alta frecuencia",
 IF(AND(COUNTIF($E$4:E91,E91)&gt;=2,I91&lt;5),"Múltiples remitentes",
 IF(I91&gt;=5,"Alta frecuencia",
 IF(AND(G91&gt;=496,G91&lt;=499,I91&gt;=4),"Monto recurrente debajo de umbral",
 IF(AND(G91&gt;=496,G91&lt;=499),"Monto cercano a umbral USD 500",
 IF(COUNTIF($E$4:E91,E91)&gt;=2,"Variación de remitente",
 "Normal"))))))))</f>
        <v>Múltiples remitentes</v>
      </c>
      <c r="L91" s="61" t="str">
        <f>VLOOKUP(B91,'Caso 3 (Índice Exposición FT)'!$A$4:$I$7,9,FALSE)&amp;" ("&amp;VLOOKUP(B91,'Caso 3 (Índice Exposición FT)'!$A$4:$H$7,8,FALSE)&amp;")"</f>
        <v>ALTO (65)</v>
      </c>
      <c r="M91" s="55"/>
    </row>
    <row r="92" spans="1:13" ht="33.75" customHeight="1" x14ac:dyDescent="0.25">
      <c r="A92" s="75">
        <v>89</v>
      </c>
      <c r="B92" s="56" t="s">
        <v>81</v>
      </c>
      <c r="C92" s="56" t="s">
        <v>102</v>
      </c>
      <c r="D92" s="56" t="s">
        <v>116</v>
      </c>
      <c r="E92" s="56" t="s">
        <v>29</v>
      </c>
      <c r="F92" s="56" t="s">
        <v>5</v>
      </c>
      <c r="G92" s="76">
        <v>710</v>
      </c>
      <c r="H92" s="56" t="s">
        <v>816</v>
      </c>
      <c r="I92" s="75">
        <v>4</v>
      </c>
      <c r="J92" s="109" t="str">
        <f t="shared" si="1"/>
        <v>⚠️</v>
      </c>
      <c r="K92" s="110" t="str">
        <f>IF(AND(B92="México",I92&gt;=5,G92&gt;=496,G92&lt;=499),"Alta frecuencia + monto umbral",
 IF(AND(I92&gt;=5,G92&gt;=496,G92&lt;=499),"Alta frecuencia + monto umbral",
 IF(AND(B92="México",I92&gt;=5,COUNTIF($E$4:E92,E92)&gt;=2),"Múltiples remitentes + alta frecuencia",
 IF(AND(COUNTIF($E$4:E92,E92)&gt;=2,I92&lt;5),"Múltiples remitentes",
 IF(I92&gt;=5,"Alta frecuencia",
 IF(AND(G92&gt;=496,G92&lt;=499,I92&gt;=4),"Monto recurrente debajo de umbral",
 IF(AND(G92&gt;=496,G92&lt;=499),"Monto cercano a umbral USD 500",
 IF(COUNTIF($E$4:E92,E92)&gt;=2,"Variación de remitente",
 "Normal"))))))))</f>
        <v>Múltiples remitentes</v>
      </c>
      <c r="L92" s="61" t="str">
        <f>VLOOKUP(B92,'Caso 3 (Índice Exposición FT)'!$A$4:$I$7,9,FALSE)&amp;" ("&amp;VLOOKUP(B92,'Caso 3 (Índice Exposición FT)'!$A$4:$H$7,8,FALSE)&amp;")"</f>
        <v>ALTO (65)</v>
      </c>
      <c r="M92" s="56"/>
    </row>
    <row r="93" spans="1:13" ht="33.75" customHeight="1" x14ac:dyDescent="0.25">
      <c r="A93" s="59">
        <v>90</v>
      </c>
      <c r="B93" s="55" t="s">
        <v>82</v>
      </c>
      <c r="C93" s="55" t="s">
        <v>82</v>
      </c>
      <c r="D93" s="55" t="s">
        <v>115</v>
      </c>
      <c r="E93" s="55" t="s">
        <v>30</v>
      </c>
      <c r="F93" s="55" t="s">
        <v>2</v>
      </c>
      <c r="G93" s="77">
        <v>2180</v>
      </c>
      <c r="H93" s="55" t="s">
        <v>831</v>
      </c>
      <c r="I93" s="59">
        <v>6</v>
      </c>
      <c r="J93" s="109" t="str">
        <f t="shared" si="1"/>
        <v>⚠️</v>
      </c>
      <c r="K93" s="110" t="str">
        <f>IF(AND(B93="México",I93&gt;=5,G93&gt;=496,G93&lt;=499),"Alta frecuencia + monto umbral",
 IF(AND(I93&gt;=5,G93&gt;=496,G93&lt;=499),"Alta frecuencia + monto umbral",
 IF(AND(B93="México",I93&gt;=5,COUNTIF($E$4:E93,E93)&gt;=2),"Múltiples remitentes + alta frecuencia",
 IF(AND(COUNTIF($E$4:E93,E93)&gt;=2,I93&lt;5),"Múltiples remitentes",
 IF(I93&gt;=5,"Alta frecuencia",
 IF(AND(G93&gt;=496,G93&lt;=499,I93&gt;=4),"Monto recurrente debajo de umbral",
 IF(AND(G93&gt;=496,G93&lt;=499),"Monto cercano a umbral USD 500",
 IF(COUNTIF($E$4:E93,E93)&gt;=2,"Variación de remitente",
 "Normal"))))))))</f>
        <v>Múltiples remitentes + alta frecuencia</v>
      </c>
      <c r="L93" s="61" t="str">
        <f>VLOOKUP(B93,'Caso 3 (Índice Exposición FT)'!$A$4:$I$7,9,FALSE)&amp;" ("&amp;VLOOKUP(B93,'Caso 3 (Índice Exposición FT)'!$A$4:$H$7,8,FALSE)&amp;")"</f>
        <v>CRÍTICO (82)</v>
      </c>
      <c r="M93" s="55" t="s">
        <v>1150</v>
      </c>
    </row>
    <row r="94" spans="1:13" ht="33.75" customHeight="1" x14ac:dyDescent="0.25">
      <c r="A94" s="75">
        <v>91</v>
      </c>
      <c r="B94" s="56" t="s">
        <v>81</v>
      </c>
      <c r="C94" s="56" t="s">
        <v>102</v>
      </c>
      <c r="D94" s="56" t="s">
        <v>1149</v>
      </c>
      <c r="E94" s="56" t="s">
        <v>31</v>
      </c>
      <c r="F94" s="56" t="s">
        <v>7</v>
      </c>
      <c r="G94" s="76">
        <v>499</v>
      </c>
      <c r="H94" s="56" t="s">
        <v>1155</v>
      </c>
      <c r="I94" s="75">
        <v>5</v>
      </c>
      <c r="J94" s="109" t="str">
        <f t="shared" si="1"/>
        <v>⚠️</v>
      </c>
      <c r="K94" s="110" t="str">
        <f>IF(AND(B94="México",I94&gt;=5,G94&gt;=496,G94&lt;=499),"Alta frecuencia + monto umbral",
 IF(AND(I94&gt;=5,G94&gt;=496,G94&lt;=499),"Alta frecuencia + monto umbral",
 IF(AND(B94="México",I94&gt;=5,COUNTIF($E$4:E94,E94)&gt;=2),"Múltiples remitentes + alta frecuencia",
 IF(AND(COUNTIF($E$4:E94,E94)&gt;=2,I94&lt;5),"Múltiples remitentes",
 IF(I94&gt;=5,"Alta frecuencia",
 IF(AND(G94&gt;=496,G94&lt;=499,I94&gt;=4),"Monto recurrente debajo de umbral",
 IF(AND(G94&gt;=496,G94&lt;=499),"Monto cercano a umbral USD 500",
 IF(COUNTIF($E$4:E94,E94)&gt;=2,"Variación de remitente",
 "Normal"))))))))</f>
        <v>Alta frecuencia + monto umbral</v>
      </c>
      <c r="L94" s="61" t="str">
        <f>VLOOKUP(B94,'Caso 3 (Índice Exposición FT)'!$A$4:$I$7,9,FALSE)&amp;" ("&amp;VLOOKUP(B94,'Caso 3 (Índice Exposición FT)'!$A$4:$H$7,8,FALSE)&amp;")"</f>
        <v>ALTO (65)</v>
      </c>
      <c r="M94" s="56" t="s">
        <v>1151</v>
      </c>
    </row>
    <row r="95" spans="1:13" ht="33.75" customHeight="1" x14ac:dyDescent="0.25">
      <c r="A95" s="59">
        <v>92</v>
      </c>
      <c r="B95" s="55" t="s">
        <v>83</v>
      </c>
      <c r="C95" s="55" t="s">
        <v>83</v>
      </c>
      <c r="D95" s="55" t="s">
        <v>106</v>
      </c>
      <c r="E95" s="55" t="s">
        <v>32</v>
      </c>
      <c r="F95" s="55" t="s">
        <v>0</v>
      </c>
      <c r="G95" s="77">
        <v>1080</v>
      </c>
      <c r="H95" s="55" t="s">
        <v>1174</v>
      </c>
      <c r="I95" s="59">
        <v>2</v>
      </c>
      <c r="J95" s="109" t="str">
        <f t="shared" si="1"/>
        <v>⚠️</v>
      </c>
      <c r="K95" s="110" t="str">
        <f>IF(AND(B95="México",I95&gt;=5,G95&gt;=496,G95&lt;=499),"Alta frecuencia + monto umbral",
 IF(AND(I95&gt;=5,G95&gt;=496,G95&lt;=499),"Alta frecuencia + monto umbral",
 IF(AND(B95="México",I95&gt;=5,COUNTIF($E$4:E95,E95)&gt;=2),"Múltiples remitentes + alta frecuencia",
 IF(AND(COUNTIF($E$4:E95,E95)&gt;=2,I95&lt;5),"Múltiples remitentes",
 IF(I95&gt;=5,"Alta frecuencia",
 IF(AND(G95&gt;=496,G95&lt;=499,I95&gt;=4),"Monto recurrente debajo de umbral",
 IF(AND(G95&gt;=496,G95&lt;=499),"Monto cercano a umbral USD 500",
 IF(COUNTIF($E$4:E95,E95)&gt;=2,"Variación de remitente",
 "Normal"))))))))</f>
        <v>Múltiples remitentes</v>
      </c>
      <c r="L95" s="61" t="str">
        <f>VLOOKUP(B95,'Caso 3 (Índice Exposición FT)'!$A$4:$I$7,9,FALSE)&amp;" ("&amp;VLOOKUP(B95,'Caso 3 (Índice Exposición FT)'!$A$4:$H$7,8,FALSE)&amp;")"</f>
        <v>MEDIO (39.5)</v>
      </c>
      <c r="M95" s="55"/>
    </row>
    <row r="96" spans="1:13" ht="33.75" customHeight="1" x14ac:dyDescent="0.25">
      <c r="A96" s="75">
        <v>93</v>
      </c>
      <c r="B96" s="56" t="s">
        <v>82</v>
      </c>
      <c r="C96" s="56" t="s">
        <v>82</v>
      </c>
      <c r="D96" s="56" t="s">
        <v>103</v>
      </c>
      <c r="E96" s="56" t="s">
        <v>33</v>
      </c>
      <c r="F96" s="56" t="s">
        <v>1</v>
      </c>
      <c r="G96" s="76">
        <v>2750</v>
      </c>
      <c r="H96" s="56" t="s">
        <v>1175</v>
      </c>
      <c r="I96" s="75">
        <v>8</v>
      </c>
      <c r="J96" s="109" t="str">
        <f t="shared" si="1"/>
        <v>⚠️</v>
      </c>
      <c r="K96" s="110" t="str">
        <f>IF(AND(B96="México",I96&gt;=5,G96&gt;=496,G96&lt;=499),"Alta frecuencia + monto umbral",
 IF(AND(I96&gt;=5,G96&gt;=496,G96&lt;=499),"Alta frecuencia + monto umbral",
 IF(AND(B96="México",I96&gt;=5,COUNTIF($E$4:E96,E96)&gt;=2),"Múltiples remitentes + alta frecuencia",
 IF(AND(COUNTIF($E$4:E96,E96)&gt;=2,I96&lt;5),"Múltiples remitentes",
 IF(I96&gt;=5,"Alta frecuencia",
 IF(AND(G96&gt;=496,G96&lt;=499,I96&gt;=4),"Monto recurrente debajo de umbral",
 IF(AND(G96&gt;=496,G96&lt;=499),"Monto cercano a umbral USD 500",
 IF(COUNTIF($E$4:E96,E96)&gt;=2,"Variación de remitente",
 "Normal"))))))))</f>
        <v>Múltiples remitentes + alta frecuencia</v>
      </c>
      <c r="L96" s="61" t="str">
        <f>VLOOKUP(B96,'Caso 3 (Índice Exposición FT)'!$A$4:$I$7,9,FALSE)&amp;" ("&amp;VLOOKUP(B96,'Caso 3 (Índice Exposición FT)'!$A$4:$H$7,8,FALSE)&amp;")"</f>
        <v>CRÍTICO (82)</v>
      </c>
      <c r="M96" s="56" t="s">
        <v>1152</v>
      </c>
    </row>
    <row r="97" spans="1:13" ht="33.75" customHeight="1" x14ac:dyDescent="0.25">
      <c r="A97" s="59">
        <v>94</v>
      </c>
      <c r="B97" s="55" t="s">
        <v>81</v>
      </c>
      <c r="C97" s="55" t="s">
        <v>102</v>
      </c>
      <c r="D97" s="55" t="s">
        <v>105</v>
      </c>
      <c r="E97" s="55" t="s">
        <v>34</v>
      </c>
      <c r="F97" s="55" t="s">
        <v>4</v>
      </c>
      <c r="G97" s="77">
        <v>760</v>
      </c>
      <c r="H97" s="55" t="s">
        <v>1176</v>
      </c>
      <c r="I97" s="59">
        <v>3</v>
      </c>
      <c r="J97" s="109" t="str">
        <f t="shared" si="1"/>
        <v>⚠️</v>
      </c>
      <c r="K97" s="110" t="str">
        <f>IF(AND(B97="México",I97&gt;=5,G97&gt;=496,G97&lt;=499),"Alta frecuencia + monto umbral",
 IF(AND(I97&gt;=5,G97&gt;=496,G97&lt;=499),"Alta frecuencia + monto umbral",
 IF(AND(B97="México",I97&gt;=5,COUNTIF($E$4:E97,E97)&gt;=2),"Múltiples remitentes + alta frecuencia",
 IF(AND(COUNTIF($E$4:E97,E97)&gt;=2,I97&lt;5),"Múltiples remitentes",
 IF(I97&gt;=5,"Alta frecuencia",
 IF(AND(G97&gt;=496,G97&lt;=499,I97&gt;=4),"Monto recurrente debajo de umbral",
 IF(AND(G97&gt;=496,G97&lt;=499),"Monto cercano a umbral USD 500",
 IF(COUNTIF($E$4:E97,E97)&gt;=2,"Variación de remitente",
 "Normal"))))))))</f>
        <v>Múltiples remitentes</v>
      </c>
      <c r="L97" s="61" t="str">
        <f>VLOOKUP(B97,'Caso 3 (Índice Exposición FT)'!$A$4:$I$7,9,FALSE)&amp;" ("&amp;VLOOKUP(B97,'Caso 3 (Índice Exposición FT)'!$A$4:$H$7,8,FALSE)&amp;")"</f>
        <v>ALTO (65)</v>
      </c>
      <c r="M97" s="55"/>
    </row>
    <row r="98" spans="1:13" ht="33.75" customHeight="1" x14ac:dyDescent="0.25">
      <c r="A98" s="75">
        <v>95</v>
      </c>
      <c r="B98" s="56" t="s">
        <v>82</v>
      </c>
      <c r="C98" s="56" t="s">
        <v>82</v>
      </c>
      <c r="D98" s="56" t="s">
        <v>107</v>
      </c>
      <c r="E98" s="56" t="s">
        <v>35</v>
      </c>
      <c r="F98" s="56" t="s">
        <v>6</v>
      </c>
      <c r="G98" s="76">
        <v>498</v>
      </c>
      <c r="H98" s="56" t="s">
        <v>817</v>
      </c>
      <c r="I98" s="75">
        <v>7</v>
      </c>
      <c r="J98" s="109" t="str">
        <f t="shared" si="1"/>
        <v>⚠️</v>
      </c>
      <c r="K98" s="110" t="str">
        <f>IF(AND(B98="México",I98&gt;=5,G98&gt;=496,G98&lt;=499),"Alta frecuencia + monto umbral",
 IF(AND(I98&gt;=5,G98&gt;=496,G98&lt;=499),"Alta frecuencia + monto umbral",
 IF(AND(B98="México",I98&gt;=5,COUNTIF($E$4:E98,E98)&gt;=2),"Múltiples remitentes + alta frecuencia",
 IF(AND(COUNTIF($E$4:E98,E98)&gt;=2,I98&lt;5),"Múltiples remitentes",
 IF(I98&gt;=5,"Alta frecuencia",
 IF(AND(G98&gt;=496,G98&lt;=499,I98&gt;=4),"Monto recurrente debajo de umbral",
 IF(AND(G98&gt;=496,G98&lt;=499),"Monto cercano a umbral USD 500",
 IF(COUNTIF($E$4:E98,E98)&gt;=2,"Variación de remitente",
 "Normal"))))))))</f>
        <v>Alta frecuencia + monto umbral</v>
      </c>
      <c r="L98" s="61" t="str">
        <f>VLOOKUP(B98,'Caso 3 (Índice Exposición FT)'!$A$4:$I$7,9,FALSE)&amp;" ("&amp;VLOOKUP(B98,'Caso 3 (Índice Exposición FT)'!$A$4:$H$7,8,FALSE)&amp;")"</f>
        <v>CRÍTICO (82)</v>
      </c>
      <c r="M98" s="56" t="s">
        <v>1150</v>
      </c>
    </row>
    <row r="99" spans="1:13" ht="33.75" customHeight="1" x14ac:dyDescent="0.25">
      <c r="A99" s="59">
        <v>96</v>
      </c>
      <c r="B99" s="55" t="s">
        <v>81</v>
      </c>
      <c r="C99" s="55" t="s">
        <v>102</v>
      </c>
      <c r="D99" s="55" t="s">
        <v>112</v>
      </c>
      <c r="E99" s="55" t="s">
        <v>36</v>
      </c>
      <c r="F99" s="55" t="s">
        <v>3</v>
      </c>
      <c r="G99" s="77">
        <v>950</v>
      </c>
      <c r="H99" s="55" t="s">
        <v>772</v>
      </c>
      <c r="I99" s="59">
        <v>4</v>
      </c>
      <c r="J99" s="109" t="str">
        <f t="shared" si="1"/>
        <v>⚠️</v>
      </c>
      <c r="K99" s="110" t="str">
        <f>IF(AND(B99="México",I99&gt;=5,G99&gt;=496,G99&lt;=499),"Alta frecuencia + monto umbral",
 IF(AND(I99&gt;=5,G99&gt;=496,G99&lt;=499),"Alta frecuencia + monto umbral",
 IF(AND(B99="México",I99&gt;=5,COUNTIF($E$4:E99,E99)&gt;=2),"Múltiples remitentes + alta frecuencia",
 IF(AND(COUNTIF($E$4:E99,E99)&gt;=2,I99&lt;5),"Múltiples remitentes",
 IF(I99&gt;=5,"Alta frecuencia",
 IF(AND(G99&gt;=496,G99&lt;=499,I99&gt;=4),"Monto recurrente debajo de umbral",
 IF(AND(G99&gt;=496,G99&lt;=499),"Monto cercano a umbral USD 500",
 IF(COUNTIF($E$4:E99,E99)&gt;=2,"Variación de remitente",
 "Normal"))))))))</f>
        <v>Múltiples remitentes</v>
      </c>
      <c r="L99" s="61" t="str">
        <f>VLOOKUP(B99,'Caso 3 (Índice Exposición FT)'!$A$4:$I$7,9,FALSE)&amp;" ("&amp;VLOOKUP(B99,'Caso 3 (Índice Exposición FT)'!$A$4:$H$7,8,FALSE)&amp;")"</f>
        <v>ALTO (65)</v>
      </c>
      <c r="M99" s="55"/>
    </row>
    <row r="100" spans="1:13" ht="33.75" customHeight="1" x14ac:dyDescent="0.25">
      <c r="A100" s="75">
        <v>97</v>
      </c>
      <c r="B100" s="56" t="s">
        <v>82</v>
      </c>
      <c r="C100" s="56" t="s">
        <v>82</v>
      </c>
      <c r="D100" s="56" t="s">
        <v>110</v>
      </c>
      <c r="E100" s="56" t="s">
        <v>37</v>
      </c>
      <c r="F100" s="56" t="s">
        <v>9</v>
      </c>
      <c r="G100" s="76">
        <v>2400</v>
      </c>
      <c r="H100" s="56" t="s">
        <v>1177</v>
      </c>
      <c r="I100" s="75">
        <v>6</v>
      </c>
      <c r="J100" s="109" t="str">
        <f t="shared" si="1"/>
        <v>⚠️</v>
      </c>
      <c r="K100" s="110" t="str">
        <f>IF(AND(B100="México",I100&gt;=5,G100&gt;=496,G100&lt;=499),"Alta frecuencia + monto umbral",
 IF(AND(I100&gt;=5,G100&gt;=496,G100&lt;=499),"Alta frecuencia + monto umbral",
 IF(AND(B100="México",I100&gt;=5,COUNTIF($E$4:E100,E100)&gt;=2),"Múltiples remitentes + alta frecuencia",
 IF(AND(COUNTIF($E$4:E100,E100)&gt;=2,I100&lt;5),"Múltiples remitentes",
 IF(I100&gt;=5,"Alta frecuencia",
 IF(AND(G100&gt;=496,G100&lt;=499,I100&gt;=4),"Monto recurrente debajo de umbral",
 IF(AND(G100&gt;=496,G100&lt;=499),"Monto cercano a umbral USD 500",
 IF(COUNTIF($E$4:E100,E100)&gt;=2,"Variación de remitente",
 "Normal"))))))))</f>
        <v>Múltiples remitentes + alta frecuencia</v>
      </c>
      <c r="L100" s="61" t="str">
        <f>VLOOKUP(B100,'Caso 3 (Índice Exposición FT)'!$A$4:$I$7,9,FALSE)&amp;" ("&amp;VLOOKUP(B100,'Caso 3 (Índice Exposición FT)'!$A$4:$H$7,8,FALSE)&amp;")"</f>
        <v>CRÍTICO (82)</v>
      </c>
      <c r="M100" s="56" t="s">
        <v>1150</v>
      </c>
    </row>
    <row r="101" spans="1:13" ht="33.75" customHeight="1" x14ac:dyDescent="0.25">
      <c r="A101" s="59">
        <v>98</v>
      </c>
      <c r="B101" s="55" t="s">
        <v>81</v>
      </c>
      <c r="C101" s="55" t="s">
        <v>102</v>
      </c>
      <c r="D101" s="55" t="s">
        <v>109</v>
      </c>
      <c r="E101" s="55" t="s">
        <v>38</v>
      </c>
      <c r="F101" s="55" t="s">
        <v>0</v>
      </c>
      <c r="G101" s="77">
        <v>1320</v>
      </c>
      <c r="H101" s="55" t="s">
        <v>1169</v>
      </c>
      <c r="I101" s="59">
        <v>3</v>
      </c>
      <c r="J101" s="109" t="str">
        <f t="shared" si="1"/>
        <v>⚠️</v>
      </c>
      <c r="K101" s="110" t="str">
        <f>IF(AND(B101="México",I101&gt;=5,G101&gt;=496,G101&lt;=499),"Alta frecuencia + monto umbral",
 IF(AND(I101&gt;=5,G101&gt;=496,G101&lt;=499),"Alta frecuencia + monto umbral",
 IF(AND(B101="México",I101&gt;=5,COUNTIF($E$4:E101,E101)&gt;=2),"Múltiples remitentes + alta frecuencia",
 IF(AND(COUNTIF($E$4:E101,E101)&gt;=2,I101&lt;5),"Múltiples remitentes",
 IF(I101&gt;=5,"Alta frecuencia",
 IF(AND(G101&gt;=496,G101&lt;=499,I101&gt;=4),"Monto recurrente debajo de umbral",
 IF(AND(G101&gt;=496,G101&lt;=499),"Monto cercano a umbral USD 500",
 IF(COUNTIF($E$4:E101,E101)&gt;=2,"Variación de remitente",
 "Normal"))))))))</f>
        <v>Múltiples remitentes</v>
      </c>
      <c r="L101" s="61" t="str">
        <f>VLOOKUP(B101,'Caso 3 (Índice Exposición FT)'!$A$4:$I$7,9,FALSE)&amp;" ("&amp;VLOOKUP(B101,'Caso 3 (Índice Exposición FT)'!$A$4:$H$7,8,FALSE)&amp;")"</f>
        <v>ALTO (65)</v>
      </c>
      <c r="M101" s="55"/>
    </row>
    <row r="102" spans="1:13" ht="33.75" customHeight="1" x14ac:dyDescent="0.25">
      <c r="A102" s="75">
        <v>99</v>
      </c>
      <c r="B102" s="56" t="s">
        <v>83</v>
      </c>
      <c r="C102" s="56" t="s">
        <v>83</v>
      </c>
      <c r="D102" s="56" t="s">
        <v>113</v>
      </c>
      <c r="E102" s="56" t="s">
        <v>39</v>
      </c>
      <c r="F102" s="56" t="s">
        <v>1</v>
      </c>
      <c r="G102" s="76">
        <v>1090</v>
      </c>
      <c r="H102" s="56" t="s">
        <v>781</v>
      </c>
      <c r="I102" s="75">
        <v>3</v>
      </c>
      <c r="J102" s="109" t="str">
        <f t="shared" si="1"/>
        <v>⚠️</v>
      </c>
      <c r="K102" s="110" t="str">
        <f>IF(AND(B102="México",I102&gt;=5,G102&gt;=496,G102&lt;=499),"Alta frecuencia + monto umbral",
 IF(AND(I102&gt;=5,G102&gt;=496,G102&lt;=499),"Alta frecuencia + monto umbral",
 IF(AND(B102="México",I102&gt;=5,COUNTIF($E$4:E102,E102)&gt;=2),"Múltiples remitentes + alta frecuencia",
 IF(AND(COUNTIF($E$4:E102,E102)&gt;=2,I102&lt;5),"Múltiples remitentes",
 IF(I102&gt;=5,"Alta frecuencia",
 IF(AND(G102&gt;=496,G102&lt;=499,I102&gt;=4),"Monto recurrente debajo de umbral",
 IF(AND(G102&gt;=496,G102&lt;=499),"Monto cercano a umbral USD 500",
 IF(COUNTIF($E$4:E102,E102)&gt;=2,"Variación de remitente",
 "Normal"))))))))</f>
        <v>Múltiples remitentes</v>
      </c>
      <c r="L102" s="61" t="str">
        <f>VLOOKUP(B102,'Caso 3 (Índice Exposición FT)'!$A$4:$I$7,9,FALSE)&amp;" ("&amp;VLOOKUP(B102,'Caso 3 (Índice Exposición FT)'!$A$4:$H$7,8,FALSE)&amp;")"</f>
        <v>MEDIO (39.5)</v>
      </c>
      <c r="M102" s="56"/>
    </row>
    <row r="103" spans="1:13" ht="33.75" customHeight="1" x14ac:dyDescent="0.25">
      <c r="A103" s="59">
        <v>100</v>
      </c>
      <c r="B103" s="55" t="s">
        <v>82</v>
      </c>
      <c r="C103" s="55" t="s">
        <v>82</v>
      </c>
      <c r="D103" s="55" t="s">
        <v>115</v>
      </c>
      <c r="E103" s="55" t="s">
        <v>40</v>
      </c>
      <c r="F103" s="55" t="s">
        <v>8</v>
      </c>
      <c r="G103" s="77">
        <v>2580</v>
      </c>
      <c r="H103" s="55" t="s">
        <v>780</v>
      </c>
      <c r="I103" s="59">
        <v>9</v>
      </c>
      <c r="J103" s="109" t="str">
        <f t="shared" si="1"/>
        <v>⚠️</v>
      </c>
      <c r="K103" s="110" t="str">
        <f>IF(AND(B103="México",I103&gt;=5,G103&gt;=496,G103&lt;=499),"Alta frecuencia + monto umbral",
 IF(AND(I103&gt;=5,G103&gt;=496,G103&lt;=499),"Alta frecuencia + monto umbral",
 IF(AND(B103="México",I103&gt;=5,COUNTIF($E$4:E103,E103)&gt;=2),"Múltiples remitentes + alta frecuencia",
 IF(AND(COUNTIF($E$4:E103,E103)&gt;=2,I103&lt;5),"Múltiples remitentes",
 IF(I103&gt;=5,"Alta frecuencia",
 IF(AND(G103&gt;=496,G103&lt;=499,I103&gt;=4),"Monto recurrente debajo de umbral",
 IF(AND(G103&gt;=496,G103&lt;=499),"Monto cercano a umbral USD 500",
 IF(COUNTIF($E$4:E103,E103)&gt;=2,"Variación de remitente",
 "Normal"))))))))</f>
        <v>Múltiples remitentes + alta frecuencia</v>
      </c>
      <c r="L103" s="61" t="str">
        <f>VLOOKUP(B103,'Caso 3 (Índice Exposición FT)'!$A$4:$I$7,9,FALSE)&amp;" ("&amp;VLOOKUP(B103,'Caso 3 (Índice Exposición FT)'!$A$4:$H$7,8,FALSE)&amp;")"</f>
        <v>CRÍTICO (82)</v>
      </c>
      <c r="M103" s="55" t="s">
        <v>1152</v>
      </c>
    </row>
    <row r="104" spans="1:13" ht="33.75" customHeight="1" x14ac:dyDescent="0.25">
      <c r="A104" s="75">
        <v>101</v>
      </c>
      <c r="B104" s="56" t="s">
        <v>84</v>
      </c>
      <c r="C104" s="56" t="s">
        <v>1178</v>
      </c>
      <c r="D104" s="56" t="s">
        <v>1179</v>
      </c>
      <c r="E104" s="56" t="s">
        <v>1180</v>
      </c>
      <c r="F104" s="56" t="s">
        <v>0</v>
      </c>
      <c r="G104" s="76">
        <v>499</v>
      </c>
      <c r="H104" s="56">
        <v>46025</v>
      </c>
      <c r="I104" s="75">
        <v>5</v>
      </c>
      <c r="J104" s="109" t="s">
        <v>1181</v>
      </c>
      <c r="K104" s="110" t="s">
        <v>1182</v>
      </c>
      <c r="L104" s="61" t="str">
        <f>VLOOKUP(B104,'Caso 3 (Índice Exposición FT)'!$A$4:$I$7,9,FALSE)&amp;" ("&amp;VLOOKUP(B104,'Caso 3 (Índice Exposición FT)'!$A$4:$H$7,8,FALSE)&amp;")"</f>
        <v>ALTO (71)</v>
      </c>
      <c r="M104" s="56" t="s">
        <v>1151</v>
      </c>
    </row>
    <row r="105" spans="1:13" ht="33.75" customHeight="1" x14ac:dyDescent="0.25">
      <c r="A105" s="59">
        <v>102</v>
      </c>
      <c r="B105" s="55" t="s">
        <v>84</v>
      </c>
      <c r="C105" s="55" t="s">
        <v>1183</v>
      </c>
      <c r="D105" s="55" t="s">
        <v>1184</v>
      </c>
      <c r="E105" s="55" t="s">
        <v>1185</v>
      </c>
      <c r="F105" s="55" t="s">
        <v>8</v>
      </c>
      <c r="G105" s="77">
        <v>1200</v>
      </c>
      <c r="H105" s="55">
        <v>46029</v>
      </c>
      <c r="I105" s="59">
        <v>2</v>
      </c>
      <c r="J105" s="109" t="s">
        <v>1186</v>
      </c>
      <c r="K105" s="110" t="s">
        <v>67</v>
      </c>
      <c r="L105" s="61" t="str">
        <f>VLOOKUP(B105,'Caso 3 (Índice Exposición FT)'!$A$4:$I$7,9,FALSE)&amp;" ("&amp;VLOOKUP(B105,'Caso 3 (Índice Exposición FT)'!$A$4:$H$7,8,FALSE)&amp;")"</f>
        <v>ALTO (71)</v>
      </c>
      <c r="M105" s="55"/>
    </row>
    <row r="106" spans="1:13" ht="33.75" customHeight="1" x14ac:dyDescent="0.25">
      <c r="A106" s="75">
        <v>103</v>
      </c>
      <c r="B106" s="56" t="s">
        <v>84</v>
      </c>
      <c r="C106" s="56" t="s">
        <v>1187</v>
      </c>
      <c r="D106" s="56" t="s">
        <v>1188</v>
      </c>
      <c r="E106" s="56" t="s">
        <v>1189</v>
      </c>
      <c r="F106" s="56" t="s">
        <v>1</v>
      </c>
      <c r="G106" s="76">
        <v>498</v>
      </c>
      <c r="H106" s="56">
        <v>46034</v>
      </c>
      <c r="I106" s="75">
        <v>6</v>
      </c>
      <c r="J106" s="109" t="s">
        <v>1181</v>
      </c>
      <c r="K106" s="110" t="s">
        <v>111</v>
      </c>
      <c r="L106" s="61" t="str">
        <f>VLOOKUP(B106,'Caso 3 (Índice Exposición FT)'!$A$4:$I$7,9,FALSE)&amp;" ("&amp;VLOOKUP(B106,'Caso 3 (Índice Exposición FT)'!$A$4:$H$7,8,FALSE)&amp;")"</f>
        <v>ALTO (71)</v>
      </c>
      <c r="M106" s="56" t="s">
        <v>1151</v>
      </c>
    </row>
    <row r="107" spans="1:13" ht="33.75" customHeight="1" x14ac:dyDescent="0.25">
      <c r="A107" s="59">
        <v>104</v>
      </c>
      <c r="B107" s="55" t="s">
        <v>84</v>
      </c>
      <c r="C107" s="55" t="s">
        <v>1178</v>
      </c>
      <c r="D107" s="55" t="s">
        <v>1190</v>
      </c>
      <c r="E107" s="55" t="s">
        <v>1191</v>
      </c>
      <c r="F107" s="55" t="s">
        <v>7</v>
      </c>
      <c r="G107" s="77">
        <v>850</v>
      </c>
      <c r="H107" s="55">
        <v>46039</v>
      </c>
      <c r="I107" s="59">
        <v>4</v>
      </c>
      <c r="J107" s="109" t="s">
        <v>1181</v>
      </c>
      <c r="K107" s="110" t="s">
        <v>114</v>
      </c>
      <c r="L107" s="61" t="str">
        <f>VLOOKUP(B107,'Caso 3 (Índice Exposición FT)'!$A$4:$I$7,9,FALSE)&amp;" ("&amp;VLOOKUP(B107,'Caso 3 (Índice Exposición FT)'!$A$4:$H$7,8,FALSE)&amp;")"</f>
        <v>ALTO (71)</v>
      </c>
      <c r="M107" s="55" t="s">
        <v>1153</v>
      </c>
    </row>
    <row r="108" spans="1:13" ht="33.75" customHeight="1" x14ac:dyDescent="0.25">
      <c r="A108" s="75">
        <v>105</v>
      </c>
      <c r="B108" s="56" t="s">
        <v>84</v>
      </c>
      <c r="C108" s="56" t="s">
        <v>1183</v>
      </c>
      <c r="D108" s="56" t="s">
        <v>1192</v>
      </c>
      <c r="E108" s="56" t="s">
        <v>1193</v>
      </c>
      <c r="F108" s="56" t="s">
        <v>9</v>
      </c>
      <c r="G108" s="76">
        <v>499</v>
      </c>
      <c r="H108" s="56">
        <v>46044</v>
      </c>
      <c r="I108" s="75">
        <v>5</v>
      </c>
      <c r="J108" s="109" t="s">
        <v>1181</v>
      </c>
      <c r="K108" s="110" t="s">
        <v>1194</v>
      </c>
      <c r="L108" s="61" t="str">
        <f>VLOOKUP(B108,'Caso 3 (Índice Exposición FT)'!$A$4:$I$7,9,FALSE)&amp;" ("&amp;VLOOKUP(B108,'Caso 3 (Índice Exposición FT)'!$A$4:$H$7,8,FALSE)&amp;")"</f>
        <v>ALTO (71)</v>
      </c>
      <c r="M108" s="56" t="s">
        <v>1151</v>
      </c>
    </row>
    <row r="109" spans="1:13" ht="33.75" customHeight="1" x14ac:dyDescent="0.25">
      <c r="A109" s="59">
        <v>106</v>
      </c>
      <c r="B109" s="55" t="s">
        <v>84</v>
      </c>
      <c r="C109" s="55" t="s">
        <v>1187</v>
      </c>
      <c r="D109" s="55" t="s">
        <v>1195</v>
      </c>
      <c r="E109" s="55" t="s">
        <v>1196</v>
      </c>
      <c r="F109" s="55" t="s">
        <v>3</v>
      </c>
      <c r="G109" s="77">
        <v>1450</v>
      </c>
      <c r="H109" s="55">
        <v>46049</v>
      </c>
      <c r="I109" s="59">
        <v>2</v>
      </c>
      <c r="J109" s="109" t="s">
        <v>1186</v>
      </c>
      <c r="K109" s="110" t="s">
        <v>67</v>
      </c>
      <c r="L109" s="61" t="str">
        <f>VLOOKUP(B109,'Caso 3 (Índice Exposición FT)'!$A$4:$I$7,9,FALSE)&amp;" ("&amp;VLOOKUP(B109,'Caso 3 (Índice Exposición FT)'!$A$4:$H$7,8,FALSE)&amp;")"</f>
        <v>ALTO (71)</v>
      </c>
      <c r="M109" s="55"/>
    </row>
    <row r="110" spans="1:13" ht="33.75" customHeight="1" x14ac:dyDescent="0.25">
      <c r="A110" s="75">
        <v>107</v>
      </c>
      <c r="B110" s="56" t="s">
        <v>84</v>
      </c>
      <c r="C110" s="56" t="s">
        <v>1178</v>
      </c>
      <c r="D110" s="56" t="s">
        <v>1197</v>
      </c>
      <c r="E110" s="56" t="s">
        <v>1198</v>
      </c>
      <c r="F110" s="56" t="s">
        <v>2</v>
      </c>
      <c r="G110" s="76">
        <v>497</v>
      </c>
      <c r="H110" s="56">
        <v>46055</v>
      </c>
      <c r="I110" s="75">
        <v>7</v>
      </c>
      <c r="J110" s="109" t="s">
        <v>1181</v>
      </c>
      <c r="K110" s="110" t="s">
        <v>111</v>
      </c>
      <c r="L110" s="61" t="str">
        <f>VLOOKUP(B110,'Caso 3 (Índice Exposición FT)'!$A$4:$I$7,9,FALSE)&amp;" ("&amp;VLOOKUP(B110,'Caso 3 (Índice Exposición FT)'!$A$4:$H$7,8,FALSE)&amp;")"</f>
        <v>ALTO (71)</v>
      </c>
      <c r="M110" s="56" t="s">
        <v>1151</v>
      </c>
    </row>
    <row r="111" spans="1:13" ht="33.75" customHeight="1" x14ac:dyDescent="0.25">
      <c r="A111" s="59">
        <v>108</v>
      </c>
      <c r="B111" s="55" t="s">
        <v>84</v>
      </c>
      <c r="C111" s="55" t="s">
        <v>1183</v>
      </c>
      <c r="D111" s="55" t="s">
        <v>1184</v>
      </c>
      <c r="E111" s="55" t="s">
        <v>1199</v>
      </c>
      <c r="F111" s="55" t="s">
        <v>5</v>
      </c>
      <c r="G111" s="77">
        <v>499</v>
      </c>
      <c r="H111" s="55">
        <v>46060</v>
      </c>
      <c r="I111" s="59">
        <v>4</v>
      </c>
      <c r="J111" s="109" t="s">
        <v>1181</v>
      </c>
      <c r="K111" s="110" t="s">
        <v>1182</v>
      </c>
      <c r="L111" s="61" t="str">
        <f>VLOOKUP(B111,'Caso 3 (Índice Exposición FT)'!$A$4:$I$7,9,FALSE)&amp;" ("&amp;VLOOKUP(B111,'Caso 3 (Índice Exposición FT)'!$A$4:$H$7,8,FALSE)&amp;")"</f>
        <v>ALTO (71)</v>
      </c>
      <c r="M111" s="55" t="s">
        <v>1151</v>
      </c>
    </row>
    <row r="112" spans="1:13" ht="33.75" customHeight="1" x14ac:dyDescent="0.25">
      <c r="A112" s="75">
        <v>109</v>
      </c>
      <c r="B112" s="56" t="s">
        <v>84</v>
      </c>
      <c r="C112" s="56" t="s">
        <v>1187</v>
      </c>
      <c r="D112" s="56" t="s">
        <v>1188</v>
      </c>
      <c r="E112" s="56" t="s">
        <v>1200</v>
      </c>
      <c r="F112" s="56" t="s">
        <v>4</v>
      </c>
      <c r="G112" s="76">
        <v>920</v>
      </c>
      <c r="H112" s="56">
        <v>46065</v>
      </c>
      <c r="I112" s="75">
        <v>3</v>
      </c>
      <c r="J112" s="109" t="s">
        <v>1186</v>
      </c>
      <c r="K112" s="110" t="s">
        <v>67</v>
      </c>
      <c r="L112" s="61" t="str">
        <f>VLOOKUP(B112,'Caso 3 (Índice Exposición FT)'!$A$4:$I$7,9,FALSE)&amp;" ("&amp;VLOOKUP(B112,'Caso 3 (Índice Exposición FT)'!$A$4:$H$7,8,FALSE)&amp;")"</f>
        <v>ALTO (71)</v>
      </c>
      <c r="M112" s="56"/>
    </row>
    <row r="113" spans="1:13" ht="33.75" customHeight="1" x14ac:dyDescent="0.25">
      <c r="A113" s="59">
        <v>110</v>
      </c>
      <c r="B113" s="55" t="s">
        <v>84</v>
      </c>
      <c r="C113" s="55" t="s">
        <v>1178</v>
      </c>
      <c r="D113" s="55" t="s">
        <v>1179</v>
      </c>
      <c r="E113" s="55" t="s">
        <v>1201</v>
      </c>
      <c r="F113" s="55" t="s">
        <v>6</v>
      </c>
      <c r="G113" s="77">
        <v>498</v>
      </c>
      <c r="H113" s="55">
        <v>46070</v>
      </c>
      <c r="I113" s="59">
        <v>6</v>
      </c>
      <c r="J113" s="109" t="s">
        <v>1181</v>
      </c>
      <c r="K113" s="110" t="s">
        <v>1202</v>
      </c>
      <c r="L113" s="61" t="str">
        <f>VLOOKUP(B113,'Caso 3 (Índice Exposición FT)'!$A$4:$I$7,9,FALSE)&amp;" ("&amp;VLOOKUP(B113,'Caso 3 (Índice Exposición FT)'!$A$4:$H$7,8,FALSE)&amp;")"</f>
        <v>ALTO (71)</v>
      </c>
      <c r="M113" s="55" t="s">
        <v>1151</v>
      </c>
    </row>
    <row r="114" spans="1:13" ht="33.75" customHeight="1" x14ac:dyDescent="0.25">
      <c r="A114" s="75">
        <v>111</v>
      </c>
      <c r="B114" s="56" t="s">
        <v>84</v>
      </c>
      <c r="C114" s="56" t="s">
        <v>1183</v>
      </c>
      <c r="D114" s="56" t="s">
        <v>1203</v>
      </c>
      <c r="E114" s="56" t="s">
        <v>1204</v>
      </c>
      <c r="F114" s="56" t="s">
        <v>0</v>
      </c>
      <c r="G114" s="76">
        <v>1100</v>
      </c>
      <c r="H114" s="56">
        <v>46075</v>
      </c>
      <c r="I114" s="75">
        <v>2</v>
      </c>
      <c r="J114" s="109" t="s">
        <v>1186</v>
      </c>
      <c r="K114" s="110" t="s">
        <v>67</v>
      </c>
      <c r="L114" s="61" t="str">
        <f>VLOOKUP(B114,'Caso 3 (Índice Exposición FT)'!$A$4:$I$7,9,FALSE)&amp;" ("&amp;VLOOKUP(B114,'Caso 3 (Índice Exposición FT)'!$A$4:$H$7,8,FALSE)&amp;")"</f>
        <v>ALTO (71)</v>
      </c>
      <c r="M114" s="56"/>
    </row>
    <row r="115" spans="1:13" ht="33.75" customHeight="1" x14ac:dyDescent="0.25">
      <c r="A115" s="59">
        <v>112</v>
      </c>
      <c r="B115" s="55" t="s">
        <v>84</v>
      </c>
      <c r="C115" s="55" t="s">
        <v>1187</v>
      </c>
      <c r="D115" s="55" t="s">
        <v>1205</v>
      </c>
      <c r="E115" s="55" t="s">
        <v>1206</v>
      </c>
      <c r="F115" s="55" t="s">
        <v>1</v>
      </c>
      <c r="G115" s="77">
        <v>499</v>
      </c>
      <c r="H115" s="55">
        <v>46080</v>
      </c>
      <c r="I115" s="59">
        <v>5</v>
      </c>
      <c r="J115" s="109" t="s">
        <v>1181</v>
      </c>
      <c r="K115" s="110" t="s">
        <v>1194</v>
      </c>
      <c r="L115" s="61" t="str">
        <f>VLOOKUP(B115,'Caso 3 (Índice Exposición FT)'!$A$4:$I$7,9,FALSE)&amp;" ("&amp;VLOOKUP(B115,'Caso 3 (Índice Exposición FT)'!$A$4:$H$7,8,FALSE)&amp;")"</f>
        <v>ALTO (71)</v>
      </c>
      <c r="M115" s="55" t="s">
        <v>1151</v>
      </c>
    </row>
    <row r="116" spans="1:13" ht="33.75" customHeight="1" x14ac:dyDescent="0.25">
      <c r="A116" s="75">
        <v>113</v>
      </c>
      <c r="B116" s="56" t="s">
        <v>84</v>
      </c>
      <c r="C116" s="56" t="s">
        <v>1178</v>
      </c>
      <c r="D116" s="56" t="s">
        <v>1207</v>
      </c>
      <c r="E116" s="56" t="s">
        <v>1208</v>
      </c>
      <c r="F116" s="56" t="s">
        <v>7</v>
      </c>
      <c r="G116" s="76">
        <v>850</v>
      </c>
      <c r="H116" s="56">
        <v>46086</v>
      </c>
      <c r="I116" s="75">
        <v>4</v>
      </c>
      <c r="J116" s="109" t="s">
        <v>1181</v>
      </c>
      <c r="K116" s="110" t="s">
        <v>114</v>
      </c>
      <c r="L116" s="61" t="str">
        <f>VLOOKUP(B116,'Caso 3 (Índice Exposición FT)'!$A$4:$I$7,9,FALSE)&amp;" ("&amp;VLOOKUP(B116,'Caso 3 (Índice Exposición FT)'!$A$4:$H$7,8,FALSE)&amp;")"</f>
        <v>ALTO (71)</v>
      </c>
      <c r="M116" s="56" t="s">
        <v>1153</v>
      </c>
    </row>
    <row r="117" spans="1:13" ht="33.75" customHeight="1" x14ac:dyDescent="0.25">
      <c r="A117" s="59">
        <v>114</v>
      </c>
      <c r="B117" s="55" t="s">
        <v>84</v>
      </c>
      <c r="C117" s="55" t="s">
        <v>1183</v>
      </c>
      <c r="D117" s="55" t="s">
        <v>1209</v>
      </c>
      <c r="E117" s="55" t="s">
        <v>1210</v>
      </c>
      <c r="F117" s="55" t="s">
        <v>9</v>
      </c>
      <c r="G117" s="77">
        <v>497</v>
      </c>
      <c r="H117" s="55">
        <v>46091</v>
      </c>
      <c r="I117" s="59">
        <v>7</v>
      </c>
      <c r="J117" s="109" t="s">
        <v>1181</v>
      </c>
      <c r="K117" s="110" t="s">
        <v>111</v>
      </c>
      <c r="L117" s="61" t="str">
        <f>VLOOKUP(B117,'Caso 3 (Índice Exposición FT)'!$A$4:$I$7,9,FALSE)&amp;" ("&amp;VLOOKUP(B117,'Caso 3 (Índice Exposición FT)'!$A$4:$H$7,8,FALSE)&amp;")"</f>
        <v>ALTO (71)</v>
      </c>
      <c r="M117" s="55" t="s">
        <v>1151</v>
      </c>
    </row>
    <row r="118" spans="1:13" ht="33.75" customHeight="1" x14ac:dyDescent="0.25">
      <c r="A118" s="75">
        <v>115</v>
      </c>
      <c r="B118" s="56" t="s">
        <v>84</v>
      </c>
      <c r="C118" s="56" t="s">
        <v>1187</v>
      </c>
      <c r="D118" s="56" t="s">
        <v>1211</v>
      </c>
      <c r="E118" s="56" t="s">
        <v>1212</v>
      </c>
      <c r="F118" s="56" t="s">
        <v>3</v>
      </c>
      <c r="G118" s="76">
        <v>1350</v>
      </c>
      <c r="H118" s="56">
        <v>46096</v>
      </c>
      <c r="I118" s="75">
        <v>2</v>
      </c>
      <c r="J118" s="109" t="s">
        <v>1186</v>
      </c>
      <c r="K118" s="110" t="s">
        <v>67</v>
      </c>
      <c r="L118" s="61" t="str">
        <f>VLOOKUP(B118,'Caso 3 (Índice Exposición FT)'!$A$4:$I$7,9,FALSE)&amp;" ("&amp;VLOOKUP(B118,'Caso 3 (Índice Exposición FT)'!$A$4:$H$7,8,FALSE)&amp;")"</f>
        <v>ALTO (71)</v>
      </c>
      <c r="M118" s="56"/>
    </row>
    <row r="119" spans="1:13" ht="33.75" customHeight="1" x14ac:dyDescent="0.25">
      <c r="A119" s="59">
        <v>116</v>
      </c>
      <c r="B119" s="55" t="s">
        <v>84</v>
      </c>
      <c r="C119" s="55" t="s">
        <v>1178</v>
      </c>
      <c r="D119" s="55" t="s">
        <v>1213</v>
      </c>
      <c r="E119" s="55" t="s">
        <v>1214</v>
      </c>
      <c r="F119" s="55" t="s">
        <v>2</v>
      </c>
      <c r="G119" s="77">
        <v>499</v>
      </c>
      <c r="H119" s="55">
        <v>46101</v>
      </c>
      <c r="I119" s="59">
        <v>5</v>
      </c>
      <c r="J119" s="109" t="s">
        <v>1181</v>
      </c>
      <c r="K119" s="110" t="s">
        <v>1182</v>
      </c>
      <c r="L119" s="61" t="str">
        <f>VLOOKUP(B119,'Caso 3 (Índice Exposición FT)'!$A$4:$I$7,9,FALSE)&amp;" ("&amp;VLOOKUP(B119,'Caso 3 (Índice Exposición FT)'!$A$4:$H$7,8,FALSE)&amp;")"</f>
        <v>ALTO (71)</v>
      </c>
      <c r="M119" s="55" t="s">
        <v>1151</v>
      </c>
    </row>
    <row r="120" spans="1:13" ht="33.75" customHeight="1" x14ac:dyDescent="0.25">
      <c r="A120" s="75">
        <v>117</v>
      </c>
      <c r="B120" s="56" t="s">
        <v>84</v>
      </c>
      <c r="C120" s="56" t="s">
        <v>1183</v>
      </c>
      <c r="D120" s="56" t="s">
        <v>1215</v>
      </c>
      <c r="E120" s="56" t="s">
        <v>1216</v>
      </c>
      <c r="F120" s="56" t="s">
        <v>8</v>
      </c>
      <c r="G120" s="76">
        <v>498</v>
      </c>
      <c r="H120" s="56">
        <v>46106</v>
      </c>
      <c r="I120" s="75">
        <v>6</v>
      </c>
      <c r="J120" s="109" t="s">
        <v>1181</v>
      </c>
      <c r="K120" s="110" t="s">
        <v>1217</v>
      </c>
      <c r="L120" s="61" t="str">
        <f>VLOOKUP(B120,'Caso 3 (Índice Exposición FT)'!$A$4:$I$7,9,FALSE)&amp;" ("&amp;VLOOKUP(B120,'Caso 3 (Índice Exposición FT)'!$A$4:$H$7,8,FALSE)&amp;")"</f>
        <v>ALTO (71)</v>
      </c>
      <c r="M120" s="56" t="s">
        <v>1151</v>
      </c>
    </row>
    <row r="121" spans="1:13" ht="33.75" customHeight="1" x14ac:dyDescent="0.25">
      <c r="A121" s="59">
        <v>118</v>
      </c>
      <c r="B121" s="55" t="s">
        <v>84</v>
      </c>
      <c r="C121" s="55" t="s">
        <v>1187</v>
      </c>
      <c r="D121" s="55" t="s">
        <v>1218</v>
      </c>
      <c r="E121" s="55" t="s">
        <v>1219</v>
      </c>
      <c r="F121" s="55" t="s">
        <v>5</v>
      </c>
      <c r="G121" s="77">
        <v>750</v>
      </c>
      <c r="H121" s="55">
        <v>46111</v>
      </c>
      <c r="I121" s="59">
        <v>4</v>
      </c>
      <c r="J121" s="109" t="s">
        <v>1181</v>
      </c>
      <c r="K121" s="110" t="s">
        <v>114</v>
      </c>
      <c r="L121" s="61" t="str">
        <f>VLOOKUP(B121,'Caso 3 (Índice Exposición FT)'!$A$4:$I$7,9,FALSE)&amp;" ("&amp;VLOOKUP(B121,'Caso 3 (Índice Exposición FT)'!$A$4:$H$7,8,FALSE)&amp;")"</f>
        <v>ALTO (71)</v>
      </c>
      <c r="M121" s="55" t="s">
        <v>1153</v>
      </c>
    </row>
    <row r="122" spans="1:13" x14ac:dyDescent="0.25">
      <c r="A122" s="166" t="str">
        <f>"TOTAL TRANSACCIONES: "&amp;COUNTA($A$4:$A$121)</f>
        <v>TOTAL TRANSACCIONES: 118</v>
      </c>
      <c r="B122" s="148"/>
      <c r="C122" s="148"/>
      <c r="D122" s="148"/>
      <c r="E122" s="148"/>
      <c r="F122" s="148"/>
      <c r="G122" s="167" t="str">
        <f>"MONTO TOTAL ALERTAS: USD "&amp;TEXT(SUMIF($K$4:$K$121,"&lt;&gt;Normal",$G$4:$G$121),"#,##0")</f>
        <v>MONTO TOTAL ALERTAS: USD 101,678</v>
      </c>
      <c r="H122" s="178"/>
      <c r="I122" s="178"/>
      <c r="J122" s="167" t="str">
        <f>"ALERTAS: "&amp;COUNTIF($K$4:$K$121,"&lt;&gt;Normal")&amp;" ("&amp;TEXT(COUNTIF($K$4:$K$121,"&lt;&gt;Normal")/COUNTA($A$4:$A$121),"0%")&amp;" del total)"</f>
        <v>ALERTAS: 78 (66% del total)</v>
      </c>
      <c r="K122" s="178"/>
      <c r="L122" s="178"/>
      <c r="M122" s="178"/>
    </row>
  </sheetData>
  <mergeCells count="5">
    <mergeCell ref="A1:M1"/>
    <mergeCell ref="A2:M2"/>
    <mergeCell ref="A122:F122"/>
    <mergeCell ref="G122:I122"/>
    <mergeCell ref="J122:M122"/>
  </mergeCells>
  <conditionalFormatting sqref="J4:K121">
    <cfRule type="expression" dxfId="53" priority="5">
      <formula>$K4="Múltiples remitentes + alta frecuencia"</formula>
    </cfRule>
    <cfRule type="expression" dxfId="52" priority="6">
      <formula>$K4="Alta frecuencia + monto umbral"</formula>
    </cfRule>
    <cfRule type="expression" dxfId="51" priority="7">
      <formula>$K4="Múltiples remitentes"</formula>
    </cfRule>
    <cfRule type="expression" dxfId="50" priority="8">
      <formula>$K4="Monto recurrente debajo de umbral"</formula>
    </cfRule>
    <cfRule type="expression" dxfId="49" priority="9">
      <formula>$K4="Monto cercano a umbral USD 500"</formula>
    </cfRule>
    <cfRule type="expression" dxfId="48" priority="10">
      <formula>$K4="Variación de remitente"</formula>
    </cfRule>
    <cfRule type="expression" dxfId="47" priority="11">
      <formula>$K4="Alta frecuencia"</formula>
    </cfRule>
    <cfRule type="expression" dxfId="46" priority="12">
      <formula>$K4="Normal"</formula>
    </cfRule>
  </conditionalFormatting>
  <pageMargins left="0.75" right="0.75" top="1" bottom="1" header="0.5" footer="0.5"/>
  <extLst>
    <ext xmlns:x14="http://schemas.microsoft.com/office/spreadsheetml/2009/9/main" uri="{78C0D931-6437-407d-A8EE-F0AAD7539E65}">
      <x14:conditionalFormattings>
        <x14:conditionalFormatting xmlns:xm="http://schemas.microsoft.com/office/excel/2006/main">
          <x14:cfRule type="expression" priority="1" id="{F38BF5F1-F27A-4971-8C28-DA4318C79816}">
            <xm:f>VLOOKUP($B4,'Caso 3 (Índice Exposición FT)'!$A$4:$I$7,9,FALSE)="CRÍTICO"</xm:f>
            <x14:dxf>
              <font>
                <color rgb="FF9C0006"/>
              </font>
              <fill>
                <patternFill>
                  <bgColor rgb="FFFFC7CE"/>
                </patternFill>
              </fill>
            </x14:dxf>
          </x14:cfRule>
          <x14:cfRule type="expression" priority="2" id="{13F4556D-F47F-4F47-90E8-DA7856741D1D}">
            <xm:f>VLOOKUP($B4,'Caso 3 (Índice Exposición FT)'!$A$4:$I$7,9,FALSE)="ALTO"</xm:f>
            <x14:dxf>
              <font>
                <color rgb="FF974706"/>
              </font>
              <fill>
                <patternFill>
                  <bgColor rgb="FFFDDCB5"/>
                </patternFill>
              </fill>
            </x14:dxf>
          </x14:cfRule>
          <x14:cfRule type="expression" priority="3" id="{43C08618-18E2-4807-968C-286FF05184EB}">
            <xm:f>VLOOKUP($B4,'Caso 3 (Índice Exposición FT)'!$A$4:$I$7,9,FALSE)="MEDIO"</xm:f>
            <x14:dxf>
              <font>
                <color rgb="FF7D6608"/>
              </font>
              <fill>
                <patternFill>
                  <bgColor rgb="FFFFEB9C"/>
                </patternFill>
              </fill>
            </x14:dxf>
          </x14:cfRule>
          <x14:cfRule type="expression" priority="4" id="{BEFB9176-DE52-45E0-917A-86AD3B1BF8DE}">
            <xm:f>VLOOKUP($B4,'Caso 3 (Índice Exposición FT)'!$A$4:$I$7,9,FALSE)="BAJO"</xm:f>
            <x14:dxf>
              <font>
                <color rgb="FF1E5C2E"/>
              </font>
              <fill>
                <patternFill>
                  <bgColor rgb="FFC6EFCE"/>
                </patternFill>
              </fill>
            </x14:dxf>
          </x14:cfRule>
          <xm:sqref>L4:L121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DE202-99EB-46AE-BFF9-7707F9414207}">
  <sheetPr codeName="Hoja16"/>
  <dimension ref="A1:J8"/>
  <sheetViews>
    <sheetView showGridLines="0" topLeftCell="A3" workbookViewId="0">
      <selection activeCell="A8" sqref="A8:J8"/>
    </sheetView>
  </sheetViews>
  <sheetFormatPr baseColWidth="10" defaultColWidth="9.140625" defaultRowHeight="15" x14ac:dyDescent="0.25"/>
  <cols>
    <col min="1" max="1" width="14" customWidth="1"/>
    <col min="2" max="3" width="12" customWidth="1"/>
    <col min="4" max="9" width="14" customWidth="1"/>
    <col min="10" max="10" width="56.85546875" customWidth="1"/>
  </cols>
  <sheetData>
    <row r="1" spans="1:10" ht="27.95" customHeight="1" x14ac:dyDescent="0.25">
      <c r="A1" s="147" t="s">
        <v>1220</v>
      </c>
      <c r="B1" s="148"/>
      <c r="C1" s="148"/>
      <c r="D1" s="148"/>
      <c r="E1" s="148"/>
      <c r="F1" s="148"/>
      <c r="G1" s="148"/>
      <c r="H1" s="148"/>
      <c r="I1" s="148"/>
      <c r="J1" s="148"/>
    </row>
    <row r="2" spans="1:10" ht="15.95" customHeight="1" x14ac:dyDescent="0.25">
      <c r="A2" s="165" t="s">
        <v>1221</v>
      </c>
      <c r="B2" s="148"/>
      <c r="C2" s="148"/>
      <c r="D2" s="148"/>
      <c r="E2" s="148"/>
      <c r="F2" s="148"/>
      <c r="G2" s="148"/>
      <c r="H2" s="148"/>
      <c r="I2" s="148"/>
      <c r="J2" s="148"/>
    </row>
    <row r="3" spans="1:10" ht="42" customHeight="1" x14ac:dyDescent="0.25">
      <c r="A3" s="54" t="s">
        <v>79</v>
      </c>
      <c r="B3" s="54" t="s">
        <v>1222</v>
      </c>
      <c r="C3" s="54" t="s">
        <v>1223</v>
      </c>
      <c r="D3" s="54" t="s">
        <v>1224</v>
      </c>
      <c r="E3" s="54" t="s">
        <v>1225</v>
      </c>
      <c r="F3" s="54" t="s">
        <v>1226</v>
      </c>
      <c r="G3" s="54" t="s">
        <v>1227</v>
      </c>
      <c r="H3" s="54" t="s">
        <v>1228</v>
      </c>
      <c r="I3" s="54" t="s">
        <v>294</v>
      </c>
      <c r="J3" s="54" t="s">
        <v>78</v>
      </c>
    </row>
    <row r="4" spans="1:10" ht="55.5" customHeight="1" x14ac:dyDescent="0.25">
      <c r="A4" s="111" t="s">
        <v>81</v>
      </c>
      <c r="B4" s="76">
        <f>'Caso 3 (Parámetros)'!D5</f>
        <v>18750000</v>
      </c>
      <c r="C4" s="112">
        <f>B4/SUM($B$4:$B$7)</f>
        <v>0.75</v>
      </c>
      <c r="D4" s="113">
        <f>'Caso 3 (Parámetros)'!B22</f>
        <v>25</v>
      </c>
      <c r="E4" s="113">
        <v>100</v>
      </c>
      <c r="F4" s="113">
        <v>90</v>
      </c>
      <c r="G4" s="113">
        <v>80</v>
      </c>
      <c r="H4" s="114">
        <f>D4*'Caso 3 (Parámetros)'!$C$13 + E4*'Caso 3 (Parámetros)'!$C$14 + F4*'Caso 3 (Parámetros)'!$C$15 + G4*'Caso 3 (Parámetros)'!$C$16</f>
        <v>65</v>
      </c>
      <c r="I4" s="115" t="str">
        <f>IF(H4&gt;=75,"CRÍTICO",IF(H4&gt;=50,"ALTO",IF(H4&gt;=25,"MEDIO","BAJO")))</f>
        <v>ALTO</v>
      </c>
      <c r="J4" s="113" t="s">
        <v>1229</v>
      </c>
    </row>
    <row r="5" spans="1:10" ht="55.5" customHeight="1" x14ac:dyDescent="0.25">
      <c r="A5" s="111" t="s">
        <v>82</v>
      </c>
      <c r="B5" s="76">
        <f>'Caso 3 (Parámetros)'!D6</f>
        <v>1875000</v>
      </c>
      <c r="C5" s="112">
        <f t="shared" ref="C5:C7" si="0">B5/SUM($B$4:$B$7)</f>
        <v>7.4999999999999997E-2</v>
      </c>
      <c r="D5" s="113">
        <v>80</v>
      </c>
      <c r="E5" s="113">
        <v>60</v>
      </c>
      <c r="F5" s="113">
        <v>100</v>
      </c>
      <c r="G5" s="113">
        <v>100</v>
      </c>
      <c r="H5" s="114">
        <f>D5*'Caso 3 (Parámetros)'!$C$13 + E5*'Caso 3 (Parámetros)'!$C$14 + F5*'Caso 3 (Parámetros)'!$C$15 + G5*'Caso 3 (Parámetros)'!$C$16</f>
        <v>82</v>
      </c>
      <c r="I5" s="115" t="str">
        <f t="shared" ref="I5:I7" si="1">IF(H5&gt;=75,"CRÍTICO",IF(H5&gt;=50,"ALTO",IF(H5&gt;=25,"MEDIO","BAJO")))</f>
        <v>CRÍTICO</v>
      </c>
      <c r="J5" s="113" t="s">
        <v>1230</v>
      </c>
    </row>
    <row r="6" spans="1:10" ht="55.5" customHeight="1" x14ac:dyDescent="0.25">
      <c r="A6" s="111" t="s">
        <v>83</v>
      </c>
      <c r="B6" s="76">
        <f>'Caso 3 (Parámetros)'!D7</f>
        <v>1250000</v>
      </c>
      <c r="C6" s="112">
        <f t="shared" si="0"/>
        <v>0.05</v>
      </c>
      <c r="D6" s="113">
        <v>25</v>
      </c>
      <c r="E6" s="113">
        <v>25</v>
      </c>
      <c r="F6" s="113">
        <v>75</v>
      </c>
      <c r="G6" s="113">
        <v>55</v>
      </c>
      <c r="H6" s="114">
        <f>D6*'Caso 3 (Parámetros)'!$C$13 + E6*'Caso 3 (Parámetros)'!$C$14 + F6*'Caso 3 (Parámetros)'!$C$15 + G6*'Caso 3 (Parámetros)'!$C$16</f>
        <v>39.5</v>
      </c>
      <c r="I6" s="115" t="str">
        <f t="shared" si="1"/>
        <v>MEDIO</v>
      </c>
      <c r="J6" s="113" t="s">
        <v>1231</v>
      </c>
    </row>
    <row r="7" spans="1:10" ht="55.5" customHeight="1" x14ac:dyDescent="0.25">
      <c r="A7" s="111" t="s">
        <v>84</v>
      </c>
      <c r="B7" s="76">
        <f>'Caso 3 (Parámetros)'!D8</f>
        <v>3125000</v>
      </c>
      <c r="C7" s="112">
        <f t="shared" si="0"/>
        <v>0.125</v>
      </c>
      <c r="D7" s="113">
        <v>65</v>
      </c>
      <c r="E7" s="113">
        <v>60</v>
      </c>
      <c r="F7" s="113">
        <v>90</v>
      </c>
      <c r="G7" s="113">
        <v>80</v>
      </c>
      <c r="H7" s="114">
        <f>D7*'Caso 3 (Parámetros)'!$C$13 + E7*'Caso 3 (Parámetros)'!$C$14 + F7*'Caso 3 (Parámetros)'!$C$15 + G7*'Caso 3 (Parámetros)'!$C$16</f>
        <v>71</v>
      </c>
      <c r="I7" s="115" t="str">
        <f t="shared" si="1"/>
        <v>ALTO</v>
      </c>
      <c r="J7" s="113" t="s">
        <v>1232</v>
      </c>
    </row>
    <row r="8" spans="1:10" ht="32.1" customHeight="1" x14ac:dyDescent="0.25">
      <c r="A8" s="164" t="s">
        <v>1233</v>
      </c>
      <c r="B8" s="148"/>
      <c r="C8" s="148"/>
      <c r="D8" s="148"/>
      <c r="E8" s="148"/>
      <c r="F8" s="148"/>
      <c r="G8" s="148"/>
      <c r="H8" s="148"/>
      <c r="I8" s="148"/>
      <c r="J8" s="148"/>
    </row>
  </sheetData>
  <mergeCells count="3">
    <mergeCell ref="A1:J1"/>
    <mergeCell ref="A2:J2"/>
    <mergeCell ref="A8:J8"/>
  </mergeCells>
  <conditionalFormatting sqref="A4:A7">
    <cfRule type="expression" dxfId="41" priority="5">
      <formula>$I4="CRÍTICO"</formula>
    </cfRule>
    <cfRule type="expression" dxfId="40" priority="6">
      <formula>$I4="ALTO"</formula>
    </cfRule>
    <cfRule type="expression" dxfId="39" priority="7">
      <formula>$I4="MEDIO"</formula>
    </cfRule>
    <cfRule type="expression" dxfId="38" priority="8">
      <formula>$I4="BAJO"</formula>
    </cfRule>
  </conditionalFormatting>
  <conditionalFormatting sqref="D4:J7">
    <cfRule type="expression" dxfId="37" priority="1">
      <formula>$I4="CRÍTICO"</formula>
    </cfRule>
    <cfRule type="expression" dxfId="36" priority="2">
      <formula>$I4="ALTO"</formula>
    </cfRule>
    <cfRule type="expression" dxfId="35" priority="3">
      <formula>$I4="MEDIO"</formula>
    </cfRule>
    <cfRule type="expression" dxfId="34" priority="4">
      <formula>$I4="BAJO"</formula>
    </cfRule>
  </conditionalFormatting>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0D743-7569-414B-B0DB-0FC6D1F13C30}">
  <sheetPr codeName="Hoja17"/>
  <dimension ref="A1:G16"/>
  <sheetViews>
    <sheetView showGridLines="0" topLeftCell="A4" workbookViewId="0">
      <selection activeCell="A8" sqref="A8:G8"/>
    </sheetView>
  </sheetViews>
  <sheetFormatPr baseColWidth="10" defaultColWidth="9.140625" defaultRowHeight="15" x14ac:dyDescent="0.25"/>
  <cols>
    <col min="1" max="2" width="12" style="1" customWidth="1"/>
    <col min="3" max="3" width="10" style="1" customWidth="1"/>
    <col min="4" max="4" width="48.42578125" style="1" customWidth="1"/>
    <col min="5" max="5" width="24" style="1" customWidth="1"/>
    <col min="6" max="6" width="14" style="1" customWidth="1"/>
    <col min="7" max="7" width="27.28515625" style="1" customWidth="1"/>
    <col min="8" max="16384" width="9.140625" style="1"/>
  </cols>
  <sheetData>
    <row r="1" spans="1:7" ht="27.95" customHeight="1" x14ac:dyDescent="0.25">
      <c r="A1" s="147" t="s">
        <v>1234</v>
      </c>
      <c r="B1" s="184"/>
      <c r="C1" s="184"/>
      <c r="D1" s="184"/>
      <c r="E1" s="184"/>
      <c r="F1" s="184"/>
      <c r="G1" s="184"/>
    </row>
    <row r="2" spans="1:7" ht="15.95" customHeight="1" x14ac:dyDescent="0.25">
      <c r="A2" s="165" t="s">
        <v>1235</v>
      </c>
      <c r="B2" s="184"/>
      <c r="C2" s="184"/>
      <c r="D2" s="184"/>
      <c r="E2" s="184"/>
      <c r="F2" s="184"/>
      <c r="G2" s="184"/>
    </row>
    <row r="3" spans="1:7" ht="27.95" customHeight="1" x14ac:dyDescent="0.25">
      <c r="A3" s="54" t="s">
        <v>79</v>
      </c>
      <c r="B3" s="54" t="s">
        <v>1236</v>
      </c>
      <c r="C3" s="54" t="s">
        <v>91</v>
      </c>
      <c r="D3" s="54" t="s">
        <v>1237</v>
      </c>
      <c r="E3" s="54" t="s">
        <v>1238</v>
      </c>
      <c r="F3" s="54" t="s">
        <v>383</v>
      </c>
      <c r="G3" s="54" t="s">
        <v>235</v>
      </c>
    </row>
    <row r="4" spans="1:7" ht="132" customHeight="1" x14ac:dyDescent="0.25">
      <c r="A4" s="116" t="s">
        <v>82</v>
      </c>
      <c r="B4" s="116">
        <f>VLOOKUP(A4,'Caso 3 (Índice Exposición FT)'!$A$4:$H$7,8,FALSE)</f>
        <v>82</v>
      </c>
      <c r="C4" s="116" t="str">
        <f>VLOOKUP(A4,'Caso 3 (Índice Exposición FT)'!$A$4:$I$7,9,FALSE)</f>
        <v>CRÍTICO</v>
      </c>
      <c r="D4" s="117" t="s">
        <v>1239</v>
      </c>
      <c r="E4" s="113" t="s">
        <v>1240</v>
      </c>
      <c r="F4" s="113" t="str">
        <f>VLOOKUP(C4,'Caso 3 (Parámetros)'!$B$30:$F$33,5,FALSE)</f>
        <v>24 horas</v>
      </c>
      <c r="G4" s="113" t="s">
        <v>1241</v>
      </c>
    </row>
    <row r="5" spans="1:7" ht="132" customHeight="1" x14ac:dyDescent="0.25">
      <c r="A5" s="116" t="s">
        <v>84</v>
      </c>
      <c r="B5" s="116">
        <f>VLOOKUP(A5,'Caso 3 (Índice Exposición FT)'!$A$4:$H$7,8,FALSE)</f>
        <v>71</v>
      </c>
      <c r="C5" s="116" t="str">
        <f>VLOOKUP(A5,'Caso 3 (Índice Exposición FT)'!$A$4:$I$7,9,FALSE)</f>
        <v>ALTO</v>
      </c>
      <c r="D5" s="117" t="s">
        <v>1242</v>
      </c>
      <c r="E5" s="113" t="s">
        <v>1243</v>
      </c>
      <c r="F5" s="113" t="str">
        <f>VLOOKUP(C5,'Caso 3 (Parámetros)'!$B$30:$F$33,5,FALSE)</f>
        <v>Mensual</v>
      </c>
      <c r="G5" s="113" t="s">
        <v>1131</v>
      </c>
    </row>
    <row r="6" spans="1:7" ht="132" customHeight="1" x14ac:dyDescent="0.25">
      <c r="A6" s="116" t="s">
        <v>81</v>
      </c>
      <c r="B6" s="116">
        <f>VLOOKUP(A6,'Caso 3 (Índice Exposición FT)'!$A$4:$H$7,8,FALSE)</f>
        <v>65</v>
      </c>
      <c r="C6" s="116" t="str">
        <f>VLOOKUP(A6,'Caso 3 (Índice Exposición FT)'!$A$4:$I$7,9,FALSE)</f>
        <v>ALTO</v>
      </c>
      <c r="D6" s="117" t="s">
        <v>1244</v>
      </c>
      <c r="E6" s="113" t="s">
        <v>1245</v>
      </c>
      <c r="F6" s="113" t="str">
        <f>VLOOKUP(C6,'Caso 3 (Parámetros)'!$B$30:$F$33,5,FALSE)</f>
        <v>Mensual</v>
      </c>
      <c r="G6" s="113" t="s">
        <v>1246</v>
      </c>
    </row>
    <row r="7" spans="1:7" ht="132" customHeight="1" x14ac:dyDescent="0.25">
      <c r="A7" s="116" t="s">
        <v>83</v>
      </c>
      <c r="B7" s="116">
        <f>VLOOKUP(A7,'Caso 3 (Índice Exposición FT)'!$A$4:$H$7,8,FALSE)</f>
        <v>39.5</v>
      </c>
      <c r="C7" s="116" t="str">
        <f>VLOOKUP(A7,'Caso 3 (Índice Exposición FT)'!$A$4:$I$7,9,FALSE)</f>
        <v>MEDIO</v>
      </c>
      <c r="D7" s="117" t="s">
        <v>1247</v>
      </c>
      <c r="E7" s="113" t="s">
        <v>1248</v>
      </c>
      <c r="F7" s="113" t="str">
        <f>VLOOKUP(C7,'Caso 3 (Parámetros)'!$B$30:$F$33,5,FALSE)</f>
        <v>Trimestral</v>
      </c>
      <c r="G7" s="113" t="s">
        <v>1249</v>
      </c>
    </row>
    <row r="8" spans="1:7" ht="18" customHeight="1" x14ac:dyDescent="0.25">
      <c r="A8" s="169" t="s">
        <v>1250</v>
      </c>
      <c r="B8" s="184"/>
      <c r="C8" s="184"/>
      <c r="D8" s="184"/>
      <c r="E8" s="184"/>
      <c r="F8" s="184"/>
      <c r="G8" s="184"/>
    </row>
    <row r="9" spans="1:7" ht="36.75" customHeight="1" x14ac:dyDescent="0.25">
      <c r="A9" s="54" t="s">
        <v>1251</v>
      </c>
      <c r="B9" s="185" t="s">
        <v>167</v>
      </c>
      <c r="C9" s="186"/>
      <c r="D9" s="186"/>
      <c r="E9" s="187"/>
      <c r="F9" s="54" t="s">
        <v>1252</v>
      </c>
      <c r="G9" s="54" t="s">
        <v>235</v>
      </c>
    </row>
    <row r="10" spans="1:7" ht="36" customHeight="1" x14ac:dyDescent="0.25">
      <c r="A10" s="80" t="s">
        <v>1253</v>
      </c>
      <c r="B10" s="179" t="s">
        <v>1254</v>
      </c>
      <c r="C10" s="180"/>
      <c r="D10" s="180"/>
      <c r="E10" s="180"/>
      <c r="F10" s="75" t="s">
        <v>1255</v>
      </c>
      <c r="G10" s="75" t="s">
        <v>1256</v>
      </c>
    </row>
    <row r="11" spans="1:7" ht="36" customHeight="1" x14ac:dyDescent="0.25">
      <c r="A11" s="118" t="s">
        <v>1257</v>
      </c>
      <c r="B11" s="181" t="s">
        <v>1258</v>
      </c>
      <c r="C11" s="182"/>
      <c r="D11" s="182"/>
      <c r="E11" s="182"/>
      <c r="F11" s="59" t="s">
        <v>1259</v>
      </c>
      <c r="G11" s="59" t="s">
        <v>1260</v>
      </c>
    </row>
    <row r="12" spans="1:7" ht="36" customHeight="1" x14ac:dyDescent="0.25">
      <c r="A12" s="80" t="s">
        <v>1261</v>
      </c>
      <c r="B12" s="179" t="s">
        <v>1262</v>
      </c>
      <c r="C12" s="180"/>
      <c r="D12" s="180"/>
      <c r="E12" s="180"/>
      <c r="F12" s="75" t="s">
        <v>231</v>
      </c>
      <c r="G12" s="75" t="s">
        <v>1263</v>
      </c>
    </row>
    <row r="13" spans="1:7" ht="36" customHeight="1" x14ac:dyDescent="0.25">
      <c r="A13" s="118" t="s">
        <v>1264</v>
      </c>
      <c r="B13" s="181" t="s">
        <v>1265</v>
      </c>
      <c r="C13" s="182"/>
      <c r="D13" s="182"/>
      <c r="E13" s="182"/>
      <c r="F13" s="59" t="s">
        <v>1266</v>
      </c>
      <c r="G13" s="59" t="s">
        <v>1267</v>
      </c>
    </row>
    <row r="14" spans="1:7" ht="36" customHeight="1" x14ac:dyDescent="0.25">
      <c r="A14" s="80" t="s">
        <v>1268</v>
      </c>
      <c r="B14" s="179" t="s">
        <v>1269</v>
      </c>
      <c r="C14" s="180"/>
      <c r="D14" s="180"/>
      <c r="E14" s="180"/>
      <c r="F14" s="75" t="s">
        <v>231</v>
      </c>
      <c r="G14" s="75" t="s">
        <v>1263</v>
      </c>
    </row>
    <row r="15" spans="1:7" ht="36" customHeight="1" x14ac:dyDescent="0.25">
      <c r="A15" s="118" t="s">
        <v>1270</v>
      </c>
      <c r="B15" s="181" t="s">
        <v>1271</v>
      </c>
      <c r="C15" s="182"/>
      <c r="D15" s="182"/>
      <c r="E15" s="182"/>
      <c r="F15" s="59" t="s">
        <v>97</v>
      </c>
      <c r="G15" s="59" t="s">
        <v>1272</v>
      </c>
    </row>
    <row r="16" spans="1:7" ht="32.1" customHeight="1" x14ac:dyDescent="0.25">
      <c r="A16" s="183" t="s">
        <v>1273</v>
      </c>
      <c r="B16" s="184"/>
      <c r="C16" s="184"/>
      <c r="D16" s="184"/>
      <c r="E16" s="184"/>
      <c r="F16" s="184"/>
      <c r="G16" s="184"/>
    </row>
  </sheetData>
  <mergeCells count="11">
    <mergeCell ref="B11:E11"/>
    <mergeCell ref="A1:G1"/>
    <mergeCell ref="A2:G2"/>
    <mergeCell ref="A8:G8"/>
    <mergeCell ref="B9:E9"/>
    <mergeCell ref="B10:E10"/>
    <mergeCell ref="B12:E12"/>
    <mergeCell ref="B13:E13"/>
    <mergeCell ref="B14:E14"/>
    <mergeCell ref="B15:E15"/>
    <mergeCell ref="A16:G16"/>
  </mergeCells>
  <conditionalFormatting sqref="A4:G7">
    <cfRule type="expression" dxfId="33" priority="1">
      <formula>$C4="CRÍTICO"</formula>
    </cfRule>
    <cfRule type="expression" dxfId="32" priority="2">
      <formula>$C4="ALTO"</formula>
    </cfRule>
    <cfRule type="expression" dxfId="31" priority="3">
      <formula>$C4="MEDIO"</formula>
    </cfRule>
    <cfRule type="expression" dxfId="30" priority="4">
      <formula>$C4="BAJO"</formula>
    </cfRule>
  </conditionalFormatting>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B739E-5332-4552-8FF8-54EB0C97726D}">
  <sheetPr codeName="Hoja18"/>
  <dimension ref="A1:G34"/>
  <sheetViews>
    <sheetView showGridLines="0" topLeftCell="A24" workbookViewId="0">
      <selection activeCell="L27" sqref="L27"/>
    </sheetView>
  </sheetViews>
  <sheetFormatPr baseColWidth="10" defaultColWidth="9.140625" defaultRowHeight="15" x14ac:dyDescent="0.25"/>
  <cols>
    <col min="1" max="1" width="18" customWidth="1"/>
    <col min="2" max="6" width="14" customWidth="1"/>
    <col min="7" max="7" width="24" customWidth="1"/>
  </cols>
  <sheetData>
    <row r="1" spans="1:7" ht="27.95" customHeight="1" x14ac:dyDescent="0.25">
      <c r="A1" s="147" t="s">
        <v>1274</v>
      </c>
      <c r="B1" s="148"/>
      <c r="C1" s="148"/>
      <c r="D1" s="148"/>
      <c r="E1" s="148"/>
      <c r="F1" s="148"/>
      <c r="G1" s="148"/>
    </row>
    <row r="2" spans="1:7" ht="15.95" customHeight="1" x14ac:dyDescent="0.25">
      <c r="A2" s="165" t="str">
        <f>"Remesadora GuateEnvíos, S.A. | Período: Enero–Junio 2026 | "&amp;B12&amp;" transacciones analizadas | 4 corredores evaluados"</f>
        <v>Remesadora GuateEnvíos, S.A. | Período: Enero–Junio 2026 | 118 transacciones analizadas | 4 corredores evaluados</v>
      </c>
      <c r="B2" s="148"/>
      <c r="C2" s="148"/>
      <c r="D2" s="148"/>
      <c r="E2" s="148"/>
      <c r="F2" s="148"/>
      <c r="G2" s="148"/>
    </row>
    <row r="3" spans="1:7" ht="18" customHeight="1" x14ac:dyDescent="0.25">
      <c r="A3" s="169" t="s">
        <v>1275</v>
      </c>
      <c r="B3" s="170"/>
      <c r="C3" s="170"/>
      <c r="D3" s="170"/>
      <c r="E3" s="170"/>
      <c r="F3" s="170"/>
      <c r="G3" s="170"/>
    </row>
    <row r="4" spans="1:7" ht="27.95" customHeight="1" x14ac:dyDescent="0.25">
      <c r="A4" s="54" t="s">
        <v>117</v>
      </c>
      <c r="B4" s="54" t="s">
        <v>79</v>
      </c>
      <c r="C4" s="54" t="s">
        <v>1276</v>
      </c>
      <c r="D4" s="54" t="s">
        <v>1236</v>
      </c>
      <c r="E4" s="54" t="s">
        <v>92</v>
      </c>
      <c r="F4" s="54" t="s">
        <v>862</v>
      </c>
      <c r="G4" s="54" t="s">
        <v>118</v>
      </c>
    </row>
    <row r="5" spans="1:7" ht="21.95" customHeight="1" x14ac:dyDescent="0.25">
      <c r="A5" s="119">
        <v>1</v>
      </c>
      <c r="B5" s="120" t="str">
        <f>'Caso 3 (Medidas de Mitigación)'!A4</f>
        <v>México</v>
      </c>
      <c r="C5" s="120">
        <f>VLOOKUP(B5,'Caso 3 (Índice Exposición FT)'!$A$4:$C$7,2,FALSE)</f>
        <v>1875000</v>
      </c>
      <c r="D5" s="116">
        <f>VLOOKUP(B5,'Caso 3 (Índice Exposición FT)'!$A$4:$H$7,8,FALSE)</f>
        <v>82</v>
      </c>
      <c r="E5" s="116" t="str">
        <f>VLOOKUP(B5,'Caso 3 (Índice Exposición FT)'!$A$4:$I$7,9,FALSE)</f>
        <v>CRÍTICO</v>
      </c>
      <c r="F5" s="120">
        <f>COUNTIFS('Caso 3 (Transacciones)'!$B$4:$B$121,B5,'Caso 3 (Transacciones)'!$K$4:$K$121,"&lt;&gt;Normal")</f>
        <v>38</v>
      </c>
      <c r="G5" s="121">
        <f>IF(COUNTIF('Caso 3 (Transacciones)'!$B$4:$B$121,B5)=0,0,F5/COUNTIF('Caso 3 (Transacciones)'!$B$4:$B$121,B5))</f>
        <v>0.95</v>
      </c>
    </row>
    <row r="6" spans="1:7" ht="21.95" customHeight="1" x14ac:dyDescent="0.25">
      <c r="A6" s="119">
        <v>2</v>
      </c>
      <c r="B6" s="120" t="str">
        <f>'Caso 3 (Medidas de Mitigación)'!A5</f>
        <v>Otros</v>
      </c>
      <c r="C6" s="120">
        <f>VLOOKUP(B6,'Caso 3 (Índice Exposición FT)'!$A$4:$C$7,2,FALSE)</f>
        <v>3125000</v>
      </c>
      <c r="D6" s="116">
        <f>VLOOKUP(B6,'Caso 3 (Índice Exposición FT)'!$A$4:$H$7,8,FALSE)</f>
        <v>71</v>
      </c>
      <c r="E6" s="116" t="str">
        <f>VLOOKUP(B6,'Caso 3 (Índice Exposición FT)'!$A$4:$I$7,9,FALSE)</f>
        <v>ALTO</v>
      </c>
      <c r="F6" s="120">
        <f>COUNTIFS('Caso 3 (Transacciones)'!$B$4:$B$121,B6,'Caso 3 (Transacciones)'!$K$4:$K$121,"&lt;&gt;Normal")</f>
        <v>13</v>
      </c>
      <c r="G6" s="121">
        <f>IF(COUNTIF('Caso 3 (Transacciones)'!$B$4:$B$121,B6)=0,0,F6/COUNTIF('Caso 3 (Transacciones)'!$B$4:$B$121,B6))</f>
        <v>0.72222222222222221</v>
      </c>
    </row>
    <row r="7" spans="1:7" ht="21.95" customHeight="1" x14ac:dyDescent="0.25">
      <c r="A7" s="119">
        <v>3</v>
      </c>
      <c r="B7" s="120" t="str">
        <f>'Caso 3 (Medidas de Mitigación)'!A6</f>
        <v>EE.UU.</v>
      </c>
      <c r="C7" s="120">
        <f>VLOOKUP(B7,'Caso 3 (Índice Exposición FT)'!$A$4:$C$7,2,FALSE)</f>
        <v>18750000</v>
      </c>
      <c r="D7" s="116">
        <f>VLOOKUP(B7,'Caso 3 (Índice Exposición FT)'!$A$4:$H$7,8,FALSE)</f>
        <v>65</v>
      </c>
      <c r="E7" s="116" t="str">
        <f>VLOOKUP(B7,'Caso 3 (Índice Exposición FT)'!$A$4:$I$7,9,FALSE)</f>
        <v>ALTO</v>
      </c>
      <c r="F7" s="120">
        <f>COUNTIFS('Caso 3 (Transacciones)'!$B$4:$B$121,B7,'Caso 3 (Transacciones)'!$K$4:$K$121,"&lt;&gt;Normal")</f>
        <v>21</v>
      </c>
      <c r="G7" s="121">
        <f>IF(COUNTIF('Caso 3 (Transacciones)'!$B$4:$B$121,B7)=0,0,F7/COUNTIF('Caso 3 (Transacciones)'!$B$4:$B$121,B7))</f>
        <v>0.48837209302325579</v>
      </c>
    </row>
    <row r="8" spans="1:7" ht="21.95" customHeight="1" x14ac:dyDescent="0.25">
      <c r="A8" s="119">
        <v>4</v>
      </c>
      <c r="B8" s="120" t="str">
        <f>'Caso 3 (Medidas de Mitigación)'!A7</f>
        <v>España</v>
      </c>
      <c r="C8" s="120">
        <f>VLOOKUP(B8,'Caso 3 (Índice Exposición FT)'!$A$4:$C$7,2,FALSE)</f>
        <v>1250000</v>
      </c>
      <c r="D8" s="116">
        <f>VLOOKUP(B8,'Caso 3 (Índice Exposición FT)'!$A$4:$H$7,8,FALSE)</f>
        <v>39.5</v>
      </c>
      <c r="E8" s="116" t="str">
        <f>VLOOKUP(B8,'Caso 3 (Índice Exposición FT)'!$A$4:$I$7,9,FALSE)</f>
        <v>MEDIO</v>
      </c>
      <c r="F8" s="120">
        <f>COUNTIFS('Caso 3 (Transacciones)'!$B$4:$B$121,B8,'Caso 3 (Transacciones)'!$K$4:$K$121,"&lt;&gt;Normal")</f>
        <v>6</v>
      </c>
      <c r="G8" s="121">
        <f>IF(COUNTIF('Caso 3 (Transacciones)'!$B$4:$B$121,B8)=0,0,F8/COUNTIF('Caso 3 (Transacciones)'!$B$4:$B$121,B8))</f>
        <v>0.35294117647058826</v>
      </c>
    </row>
    <row r="10" spans="1:7" ht="18" customHeight="1" x14ac:dyDescent="0.25">
      <c r="A10" s="169" t="s">
        <v>1277</v>
      </c>
      <c r="B10" s="170"/>
      <c r="C10" s="170"/>
      <c r="D10" s="170"/>
      <c r="E10" s="170"/>
      <c r="F10" s="170"/>
      <c r="G10" s="170"/>
    </row>
    <row r="11" spans="1:7" ht="21.95" customHeight="1" x14ac:dyDescent="0.25">
      <c r="A11" s="54" t="s">
        <v>85</v>
      </c>
      <c r="B11" s="54" t="s">
        <v>98</v>
      </c>
      <c r="C11" s="54" t="s">
        <v>1278</v>
      </c>
      <c r="D11" s="196" t="s">
        <v>80</v>
      </c>
      <c r="E11" s="198"/>
      <c r="F11" s="198"/>
      <c r="G11" s="197"/>
    </row>
    <row r="12" spans="1:7" ht="40.5" customHeight="1" x14ac:dyDescent="0.25">
      <c r="A12" s="122" t="s">
        <v>854</v>
      </c>
      <c r="B12" s="75">
        <f>COUNTA('Caso 3 (Transacciones)'!$A$4:$A$121)</f>
        <v>118</v>
      </c>
      <c r="C12" s="75" t="s">
        <v>1279</v>
      </c>
      <c r="D12" s="192" t="s">
        <v>1280</v>
      </c>
      <c r="E12" s="193"/>
      <c r="F12" s="193"/>
      <c r="G12" s="193"/>
    </row>
    <row r="13" spans="1:7" ht="40.5" customHeight="1" x14ac:dyDescent="0.25">
      <c r="A13" s="123" t="s">
        <v>1281</v>
      </c>
      <c r="B13" s="59">
        <f>COUNTIF('Caso 3 (Transacciones)'!$K$4:$K$121,"&lt;&gt;Normal")</f>
        <v>78</v>
      </c>
      <c r="C13" s="59" t="str">
        <f>"Transacciones ("&amp;TEXT(B13/B12,"0%")&amp;")"</f>
        <v>Transacciones (66%)</v>
      </c>
      <c r="D13" s="190" t="s">
        <v>1282</v>
      </c>
      <c r="E13" s="191"/>
      <c r="F13" s="191"/>
      <c r="G13" s="191"/>
    </row>
    <row r="14" spans="1:7" ht="40.5" customHeight="1" x14ac:dyDescent="0.25">
      <c r="A14" s="122" t="s">
        <v>1283</v>
      </c>
      <c r="B14" s="76">
        <f>SUM('Caso 3 (Transacciones)'!$G$4:$G$121)</f>
        <v>143508</v>
      </c>
      <c r="C14" s="75" t="s">
        <v>1284</v>
      </c>
      <c r="D14" s="192" t="s">
        <v>1285</v>
      </c>
      <c r="E14" s="193"/>
      <c r="F14" s="193"/>
      <c r="G14" s="193"/>
    </row>
    <row r="15" spans="1:7" ht="40.5" customHeight="1" x14ac:dyDescent="0.25">
      <c r="A15" s="123" t="s">
        <v>1286</v>
      </c>
      <c r="B15" s="77">
        <f>SUMIF('Caso 3 (Transacciones)'!$K$4:$K$121,"&lt;&gt;Normal",'Caso 3 (Transacciones)'!$G$4:$G$121)</f>
        <v>101678</v>
      </c>
      <c r="C15" s="59" t="str">
        <f>"USD ("&amp;TEXT(B15/B14,"0%")&amp;" del total)"</f>
        <v>USD (71% del total)</v>
      </c>
      <c r="D15" s="190" t="s">
        <v>1287</v>
      </c>
      <c r="E15" s="191"/>
      <c r="F15" s="191"/>
      <c r="G15" s="191"/>
    </row>
    <row r="16" spans="1:7" ht="40.5" customHeight="1" x14ac:dyDescent="0.25">
      <c r="A16" s="122" t="s">
        <v>1288</v>
      </c>
      <c r="B16" s="76" t="str">
        <f>INDEX('Caso 3 (Índice Exposición FT)'!$A$4:$A$7,MATCH(MAX('Caso 3 (Índice Exposición FT)'!$H$4:$H$7),'Caso 3 (Índice Exposición FT)'!$H$4:$H$7,0))</f>
        <v>México</v>
      </c>
      <c r="C16" s="75" t="s">
        <v>411</v>
      </c>
      <c r="D16" s="192" t="s">
        <v>1289</v>
      </c>
      <c r="E16" s="193"/>
      <c r="F16" s="193"/>
      <c r="G16" s="193"/>
    </row>
    <row r="17" spans="1:7" ht="40.5" customHeight="1" x14ac:dyDescent="0.25">
      <c r="A17" s="123" t="s">
        <v>1290</v>
      </c>
      <c r="B17" s="59" t="str" cm="1">
        <f t="array" ref="B17">INDEX('Caso 3 (Transacciones)'!$K$4:$K$121,MATCH(MAX(COUNTIF('Caso 3 (Transacciones)'!$K$4:$K$121,'Caso 3 (Transacciones)'!$K$4:$K$121)),COUNTIF('Caso 3 (Transacciones)'!$K$4:$K$121,'Caso 3 (Transacciones)'!$K$4:$K$121),0))</f>
        <v>Normal</v>
      </c>
      <c r="C17" s="59" t="s">
        <v>411</v>
      </c>
      <c r="D17" s="190" t="s">
        <v>1291</v>
      </c>
      <c r="E17" s="191"/>
      <c r="F17" s="191"/>
      <c r="G17" s="191"/>
    </row>
    <row r="18" spans="1:7" ht="40.5" customHeight="1" x14ac:dyDescent="0.25">
      <c r="A18" s="122" t="s">
        <v>1292</v>
      </c>
      <c r="B18" s="75" t="str">
        <f>INDEX('Caso 3 (Índice Exposición FT)'!$A$4:$A$7,MATCH(MAX('Caso 3 (Índice Exposición FT)'!$B$4:$B$7),'Caso 3 (Índice Exposición FT)'!$B$4:$B$7,0))</f>
        <v>EE.UU.</v>
      </c>
      <c r="C18" s="75" t="s">
        <v>411</v>
      </c>
      <c r="D18" s="192" t="s">
        <v>1293</v>
      </c>
      <c r="E18" s="193"/>
      <c r="F18" s="193"/>
      <c r="G18" s="193"/>
    </row>
    <row r="19" spans="1:7" ht="40.5" customHeight="1" x14ac:dyDescent="0.25">
      <c r="A19" s="123" t="s">
        <v>1294</v>
      </c>
      <c r="B19" s="59" t="s">
        <v>1295</v>
      </c>
      <c r="C19" s="59" t="s">
        <v>411</v>
      </c>
      <c r="D19" s="190" t="s">
        <v>1296</v>
      </c>
      <c r="E19" s="191"/>
      <c r="F19" s="191"/>
      <c r="G19" s="191"/>
    </row>
    <row r="21" spans="1:7" ht="18" customHeight="1" x14ac:dyDescent="0.25">
      <c r="A21" s="174" t="s">
        <v>1297</v>
      </c>
      <c r="B21" s="175"/>
      <c r="C21" s="175"/>
      <c r="D21" s="175"/>
      <c r="E21" s="175"/>
      <c r="F21" s="175"/>
    </row>
    <row r="22" spans="1:7" ht="27.95" customHeight="1" x14ac:dyDescent="0.25">
      <c r="A22" s="54" t="s">
        <v>380</v>
      </c>
      <c r="B22" s="54" t="s">
        <v>862</v>
      </c>
      <c r="C22" s="54" t="s">
        <v>863</v>
      </c>
      <c r="D22" s="54" t="s">
        <v>1298</v>
      </c>
      <c r="E22" s="196" t="s">
        <v>1299</v>
      </c>
      <c r="F22" s="197"/>
    </row>
    <row r="23" spans="1:7" ht="39.75" customHeight="1" x14ac:dyDescent="0.25">
      <c r="A23" s="56" t="s">
        <v>104</v>
      </c>
      <c r="B23" s="75">
        <f>COUNTIF('Caso 3 (Transacciones)'!$K$4:$K$121,A23)</f>
        <v>18</v>
      </c>
      <c r="C23" s="112">
        <f>B23/$B$32</f>
        <v>0.23076923076923078</v>
      </c>
      <c r="D23" s="56" t="s">
        <v>1300</v>
      </c>
      <c r="E23" s="192" t="s">
        <v>1301</v>
      </c>
      <c r="F23" s="193"/>
    </row>
    <row r="24" spans="1:7" ht="39.75" customHeight="1" x14ac:dyDescent="0.25">
      <c r="A24" s="55" t="s">
        <v>1302</v>
      </c>
      <c r="B24" s="75">
        <f>COUNTIF('Caso 3 (Transacciones)'!$K$4:$K$121,A24)</f>
        <v>10</v>
      </c>
      <c r="C24" s="112">
        <f t="shared" ref="C24:C31" si="0">B24/$B$32</f>
        <v>0.12820512820512819</v>
      </c>
      <c r="D24" s="55" t="s">
        <v>1303</v>
      </c>
      <c r="E24" s="190" t="s">
        <v>1304</v>
      </c>
      <c r="F24" s="191"/>
    </row>
    <row r="25" spans="1:7" ht="39.75" customHeight="1" x14ac:dyDescent="0.25">
      <c r="A25" s="56" t="s">
        <v>111</v>
      </c>
      <c r="B25" s="75">
        <f>COUNTIF('Caso 3 (Transacciones)'!$K$4:$K$121,A25)</f>
        <v>23</v>
      </c>
      <c r="C25" s="112">
        <f t="shared" si="0"/>
        <v>0.29487179487179488</v>
      </c>
      <c r="D25" s="56" t="s">
        <v>1305</v>
      </c>
      <c r="E25" s="192" t="s">
        <v>1306</v>
      </c>
      <c r="F25" s="193"/>
    </row>
    <row r="26" spans="1:7" ht="39.75" customHeight="1" x14ac:dyDescent="0.25">
      <c r="A26" s="55" t="s">
        <v>108</v>
      </c>
      <c r="B26" s="75">
        <f>COUNTIF('Caso 3 (Transacciones)'!$K$4:$K$121,A26)</f>
        <v>17</v>
      </c>
      <c r="C26" s="112">
        <f t="shared" si="0"/>
        <v>0.21794871794871795</v>
      </c>
      <c r="D26" s="55" t="s">
        <v>1307</v>
      </c>
      <c r="E26" s="190" t="s">
        <v>906</v>
      </c>
      <c r="F26" s="191"/>
    </row>
    <row r="27" spans="1:7" ht="39.75" customHeight="1" x14ac:dyDescent="0.25">
      <c r="A27" s="56" t="s">
        <v>1182</v>
      </c>
      <c r="B27" s="75">
        <f>COUNTIF('Caso 3 (Transacciones)'!$K$4:$K$121,A27)</f>
        <v>3</v>
      </c>
      <c r="C27" s="112">
        <f t="shared" si="0"/>
        <v>3.8461538461538464E-2</v>
      </c>
      <c r="D27" s="56" t="s">
        <v>1308</v>
      </c>
      <c r="E27" s="192" t="s">
        <v>1301</v>
      </c>
      <c r="F27" s="193"/>
    </row>
    <row r="28" spans="1:7" ht="39.75" customHeight="1" x14ac:dyDescent="0.25">
      <c r="A28" s="55" t="s">
        <v>1194</v>
      </c>
      <c r="B28" s="75">
        <f>COUNTIF('Caso 3 (Transacciones)'!$K$4:$K$121,A28)</f>
        <v>2</v>
      </c>
      <c r="C28" s="112">
        <f t="shared" si="0"/>
        <v>2.564102564102564E-2</v>
      </c>
      <c r="D28" s="55" t="s">
        <v>1308</v>
      </c>
      <c r="E28" s="190" t="s">
        <v>1301</v>
      </c>
      <c r="F28" s="191"/>
    </row>
    <row r="29" spans="1:7" ht="39.75" customHeight="1" x14ac:dyDescent="0.25">
      <c r="A29" s="56" t="s">
        <v>1217</v>
      </c>
      <c r="B29" s="75">
        <f>COUNTIF('Caso 3 (Transacciones)'!$K$4:$K$121,A29)</f>
        <v>1</v>
      </c>
      <c r="C29" s="112">
        <f t="shared" si="0"/>
        <v>1.282051282051282E-2</v>
      </c>
      <c r="D29" s="56" t="s">
        <v>1308</v>
      </c>
      <c r="E29" s="192" t="s">
        <v>1301</v>
      </c>
      <c r="F29" s="193"/>
    </row>
    <row r="30" spans="1:7" ht="39.75" customHeight="1" x14ac:dyDescent="0.25">
      <c r="A30" s="55" t="s">
        <v>1202</v>
      </c>
      <c r="B30" s="75">
        <f>COUNTIF('Caso 3 (Transacciones)'!$K$4:$K$121,A30)</f>
        <v>1</v>
      </c>
      <c r="C30" s="112">
        <f t="shared" si="0"/>
        <v>1.282051282051282E-2</v>
      </c>
      <c r="D30" s="55" t="s">
        <v>1305</v>
      </c>
      <c r="E30" s="194" t="s">
        <v>1306</v>
      </c>
      <c r="F30" s="195"/>
    </row>
    <row r="31" spans="1:7" ht="39.75" customHeight="1" x14ac:dyDescent="0.25">
      <c r="A31" s="56" t="s">
        <v>114</v>
      </c>
      <c r="B31" s="75">
        <f>COUNTIF('Caso 3 (Transacciones)'!$K$4:$K$121,A31)</f>
        <v>3</v>
      </c>
      <c r="C31" s="112">
        <f t="shared" si="0"/>
        <v>3.8461538461538464E-2</v>
      </c>
      <c r="D31" s="56" t="s">
        <v>1307</v>
      </c>
      <c r="E31" s="192" t="s">
        <v>906</v>
      </c>
      <c r="F31" s="193"/>
    </row>
    <row r="32" spans="1:7" x14ac:dyDescent="0.25">
      <c r="A32" s="81" t="s">
        <v>187</v>
      </c>
      <c r="B32" s="81">
        <f>SUM(B23:B31)</f>
        <v>78</v>
      </c>
      <c r="C32" s="90">
        <v>1</v>
      </c>
      <c r="D32" s="81"/>
      <c r="E32" s="81"/>
      <c r="F32" s="81"/>
    </row>
    <row r="33" spans="1:6" ht="32.1" customHeight="1" x14ac:dyDescent="0.25">
      <c r="A33" s="188" t="s">
        <v>1309</v>
      </c>
      <c r="B33" s="188"/>
      <c r="C33" s="188"/>
      <c r="D33" s="188"/>
      <c r="E33" s="188"/>
      <c r="F33" s="188"/>
    </row>
    <row r="34" spans="1:6" x14ac:dyDescent="0.25">
      <c r="A34" s="189"/>
      <c r="B34" s="189"/>
      <c r="C34" s="189"/>
      <c r="D34" s="189"/>
      <c r="E34" s="189"/>
      <c r="F34" s="189"/>
    </row>
  </sheetData>
  <mergeCells count="25">
    <mergeCell ref="D12:G12"/>
    <mergeCell ref="A1:G1"/>
    <mergeCell ref="A2:G2"/>
    <mergeCell ref="A3:G3"/>
    <mergeCell ref="A10:G10"/>
    <mergeCell ref="D11:G11"/>
    <mergeCell ref="E25:F25"/>
    <mergeCell ref="D13:G13"/>
    <mergeCell ref="D14:G14"/>
    <mergeCell ref="D15:G15"/>
    <mergeCell ref="D16:G16"/>
    <mergeCell ref="D17:G17"/>
    <mergeCell ref="D18:G18"/>
    <mergeCell ref="D19:G19"/>
    <mergeCell ref="A21:F21"/>
    <mergeCell ref="E22:F22"/>
    <mergeCell ref="E23:F23"/>
    <mergeCell ref="E24:F24"/>
    <mergeCell ref="A33:F34"/>
    <mergeCell ref="E26:F26"/>
    <mergeCell ref="E27:F27"/>
    <mergeCell ref="E28:F28"/>
    <mergeCell ref="E29:F29"/>
    <mergeCell ref="E30:F30"/>
    <mergeCell ref="E31:F31"/>
  </mergeCells>
  <conditionalFormatting sqref="A5:G8">
    <cfRule type="expression" dxfId="29" priority="1">
      <formula>$E5="CRÍTICO"</formula>
    </cfRule>
    <cfRule type="expression" dxfId="28" priority="2">
      <formula>$E5="ALTO"</formula>
    </cfRule>
    <cfRule type="expression" dxfId="27" priority="3">
      <formula>$E5="MEDIO"</formula>
    </cfRule>
    <cfRule type="expression" dxfId="26" priority="4">
      <formula>$E5="BAJO"</formula>
    </cfRule>
  </conditionalFormatting>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F809C-2426-4BA0-A108-B16B8DE55C68}">
  <sheetPr codeName="Hoja19"/>
  <dimension ref="B1:AB61"/>
  <sheetViews>
    <sheetView showGridLines="0" topLeftCell="A17" zoomScale="39" zoomScaleNormal="39" workbookViewId="0">
      <selection activeCell="B16" sqref="B16:AB53"/>
    </sheetView>
  </sheetViews>
  <sheetFormatPr baseColWidth="10" defaultColWidth="9.140625" defaultRowHeight="15" x14ac:dyDescent="0.25"/>
  <cols>
    <col min="1" max="1" width="1.42578125" customWidth="1"/>
    <col min="2" max="9" width="9" customWidth="1"/>
    <col min="10" max="10" width="1.42578125" customWidth="1"/>
    <col min="11" max="18" width="9" customWidth="1"/>
    <col min="19" max="19" width="1.42578125" customWidth="1"/>
    <col min="20" max="27" width="9" customWidth="1"/>
    <col min="28" max="28" width="1.42578125" customWidth="1"/>
    <col min="29" max="33" width="14" customWidth="1"/>
    <col min="34" max="34" width="1.42578125" customWidth="1"/>
  </cols>
  <sheetData>
    <row r="1" spans="2:28" ht="8.1" customHeight="1" x14ac:dyDescent="0.25"/>
    <row r="2" spans="2:28" ht="36" customHeight="1" x14ac:dyDescent="0.25">
      <c r="B2" s="200" t="s">
        <v>1310</v>
      </c>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row>
    <row r="3" spans="2:28" ht="21.95" customHeight="1" x14ac:dyDescent="0.25">
      <c r="B3" s="199" t="s">
        <v>1311</v>
      </c>
      <c r="C3" s="199"/>
      <c r="D3" s="199"/>
      <c r="E3" s="199"/>
      <c r="F3" s="199"/>
      <c r="G3" s="199"/>
      <c r="H3" s="199"/>
      <c r="I3" s="199"/>
      <c r="J3" s="199"/>
      <c r="K3" s="199"/>
      <c r="L3" s="199"/>
      <c r="M3" s="199"/>
      <c r="N3" s="199"/>
      <c r="O3" s="199"/>
      <c r="P3" s="199"/>
      <c r="Q3" s="199"/>
      <c r="R3" s="199"/>
      <c r="S3" s="199"/>
      <c r="T3" s="199"/>
      <c r="U3" s="199"/>
      <c r="V3" s="199"/>
      <c r="W3" s="199"/>
      <c r="X3" s="199"/>
      <c r="Y3" s="199"/>
      <c r="Z3" s="199"/>
      <c r="AA3" s="199"/>
      <c r="AB3" s="124"/>
    </row>
    <row r="4" spans="2:28" ht="9.9499999999999993" customHeight="1" x14ac:dyDescent="0.25"/>
    <row r="5" spans="2:28" ht="18" customHeight="1" x14ac:dyDescent="0.25">
      <c r="B5" s="212" t="s">
        <v>1312</v>
      </c>
      <c r="C5" s="148"/>
      <c r="D5" s="148"/>
      <c r="E5" s="148"/>
      <c r="F5" s="148"/>
      <c r="G5" s="148"/>
      <c r="H5" s="148"/>
      <c r="I5" s="148"/>
      <c r="K5" s="212" t="s">
        <v>1313</v>
      </c>
      <c r="L5" s="148"/>
      <c r="M5" s="148"/>
      <c r="N5" s="148"/>
      <c r="O5" s="148"/>
      <c r="P5" s="148"/>
      <c r="Q5" s="148"/>
      <c r="R5" s="148"/>
      <c r="T5" s="212" t="s">
        <v>1314</v>
      </c>
      <c r="U5" s="148"/>
      <c r="V5" s="148"/>
      <c r="W5" s="148"/>
      <c r="X5" s="148"/>
      <c r="Y5" s="148"/>
      <c r="Z5" s="148"/>
      <c r="AA5" s="148"/>
    </row>
    <row r="6" spans="2:28" ht="18" customHeight="1" x14ac:dyDescent="0.25">
      <c r="B6" s="203" t="s">
        <v>1315</v>
      </c>
      <c r="C6" s="148"/>
      <c r="D6" s="148"/>
      <c r="E6" s="148"/>
      <c r="F6" s="148"/>
      <c r="G6" s="148"/>
      <c r="H6" s="148"/>
      <c r="I6" s="148"/>
      <c r="K6" s="203" t="s">
        <v>1316</v>
      </c>
      <c r="L6" s="148"/>
      <c r="M6" s="148"/>
      <c r="N6" s="148"/>
      <c r="O6" s="148"/>
      <c r="P6" s="148"/>
      <c r="Q6" s="148"/>
      <c r="R6" s="148"/>
      <c r="T6" s="203" t="s">
        <v>1317</v>
      </c>
      <c r="U6" s="148"/>
      <c r="V6" s="148"/>
      <c r="W6" s="148"/>
      <c r="X6" s="148"/>
      <c r="Y6" s="148"/>
      <c r="Z6" s="148"/>
      <c r="AA6" s="148"/>
    </row>
    <row r="7" spans="2:28" ht="18" customHeight="1" x14ac:dyDescent="0.25">
      <c r="B7" s="208">
        <f>(('Caso 1 (Resumen Ejecutivo)'!C7+'Caso 1 (Resumen Ejecutivo)'!C8)/'Caso 1 (Resumen Ejecutivo)'!C9)</f>
        <v>0.44</v>
      </c>
      <c r="C7" s="207"/>
      <c r="D7" s="207"/>
      <c r="E7" s="207"/>
      <c r="F7" s="207"/>
      <c r="G7" s="207"/>
      <c r="H7" s="207"/>
      <c r="I7" s="207"/>
      <c r="K7" s="209">
        <f>'Caso 2 (Resumen Ejecutivo)'!D7</f>
        <v>0.40666666666666668</v>
      </c>
      <c r="L7" s="210"/>
      <c r="M7" s="210"/>
      <c r="N7" s="210"/>
      <c r="O7" s="210"/>
      <c r="P7" s="210"/>
      <c r="Q7" s="210"/>
      <c r="R7" s="210"/>
      <c r="T7" s="211" t="str">
        <f>INDEX('Caso 3 (Índice Exposición FT)'!H4:H7,MATCH(MAX('Caso 3 (Índice Exposición FT)'!H4:H7),'Caso 3 (Índice Exposición FT)'!H4:H7,0))&amp;" / 100"</f>
        <v>82 / 100</v>
      </c>
      <c r="U7" s="148"/>
      <c r="V7" s="148"/>
      <c r="W7" s="148"/>
      <c r="X7" s="148"/>
      <c r="Y7" s="148"/>
      <c r="Z7" s="148"/>
      <c r="AA7" s="148"/>
    </row>
    <row r="8" spans="2:28" ht="18" customHeight="1" x14ac:dyDescent="0.25">
      <c r="B8" s="207"/>
      <c r="C8" s="207"/>
      <c r="D8" s="207"/>
      <c r="E8" s="207"/>
      <c r="F8" s="207"/>
      <c r="G8" s="207"/>
      <c r="H8" s="207"/>
      <c r="I8" s="207"/>
      <c r="K8" s="210"/>
      <c r="L8" s="210"/>
      <c r="M8" s="210"/>
      <c r="N8" s="210"/>
      <c r="O8" s="210"/>
      <c r="P8" s="210"/>
      <c r="Q8" s="210"/>
      <c r="R8" s="210"/>
      <c r="T8" s="148"/>
      <c r="U8" s="148"/>
      <c r="V8" s="148"/>
      <c r="W8" s="148"/>
      <c r="X8" s="148"/>
      <c r="Y8" s="148"/>
      <c r="Z8" s="148"/>
      <c r="AA8" s="148"/>
    </row>
    <row r="9" spans="2:28" ht="18" customHeight="1" x14ac:dyDescent="0.25">
      <c r="B9" s="183" t="str">
        <f>"("&amp;('Caso 1 (Resumen Ejecutivo)'!C7+'Caso 1 (Resumen Ejecutivo)'!C8)&amp;" de "&amp;'Caso 1 (Resumen Ejecutivo)'!C9&amp;" clientes requieren DDC Reforzada)"</f>
        <v>(22 de 50 clientes requieren DDC Reforzada)</v>
      </c>
      <c r="C9" s="148"/>
      <c r="D9" s="148"/>
      <c r="E9" s="148"/>
      <c r="F9" s="148"/>
      <c r="G9" s="148"/>
      <c r="H9" s="148"/>
      <c r="I9" s="148"/>
      <c r="K9" s="183" t="str">
        <f>"("&amp;'Caso 2 (Resumen Ejecutivo)'!C7&amp;" alertas en "&amp;'Caso 2 (Resumen Ejecutivo)'!C6&amp;" transacciones analizadas)"</f>
        <v>(122 alertas en 300 transacciones analizadas)</v>
      </c>
      <c r="L9" s="148"/>
      <c r="M9" s="148"/>
      <c r="N9" s="148"/>
      <c r="O9" s="148"/>
      <c r="P9" s="148"/>
      <c r="Q9" s="148"/>
      <c r="R9" s="148"/>
      <c r="T9" s="183" t="str">
        <f>INDEX('Caso 3 (Índice Exposición FT)'!A4:A7,MATCH(MAX('Caso 3 (Índice Exposición FT)'!H4:H7),'Caso 3 (Índice Exposición FT)'!H4:H7,0))&amp;" — Nivel CRÍTICO | DDC Reforzada + Gerencia"</f>
        <v>México — Nivel CRÍTICO | DDC Reforzada + Gerencia</v>
      </c>
      <c r="U9" s="148"/>
      <c r="V9" s="148"/>
      <c r="W9" s="148"/>
      <c r="X9" s="148"/>
      <c r="Y9" s="148"/>
      <c r="Z9" s="148"/>
      <c r="AA9" s="148"/>
    </row>
    <row r="10" spans="2:28" ht="8.1" customHeight="1" x14ac:dyDescent="0.25"/>
    <row r="11" spans="2:28" ht="18" customHeight="1" x14ac:dyDescent="0.25">
      <c r="B11" s="203" t="s">
        <v>1318</v>
      </c>
      <c r="C11" s="148"/>
      <c r="D11" s="148"/>
      <c r="E11" s="148"/>
      <c r="F11" s="148"/>
      <c r="G11" s="148"/>
      <c r="H11" s="148"/>
      <c r="I11" s="148"/>
      <c r="K11" s="203" t="s">
        <v>1319</v>
      </c>
      <c r="L11" s="148"/>
      <c r="M11" s="148"/>
      <c r="N11" s="148"/>
      <c r="O11" s="148"/>
      <c r="P11" s="148"/>
      <c r="Q11" s="148"/>
      <c r="R11" s="148"/>
      <c r="T11" s="203" t="s">
        <v>1320</v>
      </c>
      <c r="U11" s="148"/>
      <c r="V11" s="148"/>
      <c r="W11" s="148"/>
      <c r="X11" s="148"/>
      <c r="Y11" s="148"/>
      <c r="Z11" s="148"/>
      <c r="AA11" s="148"/>
    </row>
    <row r="12" spans="2:28" ht="18" customHeight="1" x14ac:dyDescent="0.25">
      <c r="B12" s="204">
        <f>AVERAGE('Caso 1 (Matriz de Clientes)'!K4:K53)</f>
        <v>2.3350000000000004</v>
      </c>
      <c r="C12" s="148"/>
      <c r="D12" s="148"/>
      <c r="E12" s="148"/>
      <c r="F12" s="148"/>
      <c r="G12" s="148"/>
      <c r="H12" s="148"/>
      <c r="I12" s="148"/>
      <c r="K12" s="205" t="s">
        <v>1321</v>
      </c>
      <c r="L12" s="148"/>
      <c r="M12" s="148"/>
      <c r="N12" s="148"/>
      <c r="O12" s="148"/>
      <c r="P12" s="148"/>
      <c r="Q12" s="148"/>
      <c r="R12" s="148"/>
      <c r="T12" s="206">
        <f>'Caso 3 (Resumen Ejecutivo)'!B13/'Caso 3 (Resumen Ejecutivo)'!B12</f>
        <v>0.66101694915254239</v>
      </c>
      <c r="U12" s="207"/>
      <c r="V12" s="207"/>
      <c r="W12" s="207"/>
      <c r="X12" s="207"/>
      <c r="Y12" s="207"/>
      <c r="Z12" s="207"/>
      <c r="AA12" s="207"/>
    </row>
    <row r="13" spans="2:28" ht="18" customHeight="1" x14ac:dyDescent="0.25">
      <c r="B13" s="148"/>
      <c r="C13" s="148"/>
      <c r="D13" s="148"/>
      <c r="E13" s="148"/>
      <c r="F13" s="148"/>
      <c r="G13" s="148"/>
      <c r="H13" s="148"/>
      <c r="I13" s="148"/>
      <c r="K13" s="148"/>
      <c r="L13" s="148"/>
      <c r="M13" s="148"/>
      <c r="N13" s="148"/>
      <c r="O13" s="148"/>
      <c r="P13" s="148"/>
      <c r="Q13" s="148"/>
      <c r="R13" s="148"/>
      <c r="T13" s="207"/>
      <c r="U13" s="207"/>
      <c r="V13" s="207"/>
      <c r="W13" s="207"/>
      <c r="X13" s="207"/>
      <c r="Y13" s="207"/>
      <c r="Z13" s="207"/>
      <c r="AA13" s="207"/>
    </row>
    <row r="14" spans="2:28" ht="18" customHeight="1" x14ac:dyDescent="0.25">
      <c r="B14" s="183" t="str">
        <f>"Escala 1.00–4.00 | Nivel "&amp;IF(B12&gt;=3,"ALTO",IF(B12&gt;=2,"MEDIO-ALTO","MEDIO"))&amp;" de la cartera"</f>
        <v>Escala 1.00–4.00 | Nivel MEDIO-ALTO de la cartera</v>
      </c>
      <c r="C14" s="148"/>
      <c r="D14" s="148"/>
      <c r="E14" s="148"/>
      <c r="F14" s="148"/>
      <c r="G14" s="148"/>
      <c r="H14" s="148"/>
      <c r="I14" s="148"/>
      <c r="K14" s="183" t="str">
        <f>TEXT(ROUND('Caso 2 (Resumen Ejecutivo)'!C9,0)/COUNTA('Caso 2 (Socios)'!A4:A73),"0.0%")&amp;" de la cartera activó al menos una señal de alerta"</f>
        <v>47.1% de la cartera activó al menos una señal de alerta</v>
      </c>
      <c r="L14" s="148"/>
      <c r="M14" s="148"/>
      <c r="N14" s="148"/>
      <c r="O14" s="148"/>
      <c r="P14" s="148"/>
      <c r="Q14" s="148"/>
      <c r="R14" s="148"/>
      <c r="T14" s="183" t="str">
        <f>"("&amp;'Caso 3 (Resumen Ejecutivo)'!B13&amp;" de "&amp;'Caso 3 (Resumen Ejecutivo)'!B12&amp;" transacciones con señal de riesgo FT)"</f>
        <v>(78 de 118 transacciones con señal de riesgo FT)</v>
      </c>
      <c r="U14" s="148"/>
      <c r="V14" s="148"/>
      <c r="W14" s="148"/>
      <c r="X14" s="148"/>
      <c r="Y14" s="148"/>
      <c r="Z14" s="148"/>
      <c r="AA14" s="148"/>
    </row>
    <row r="15" spans="2:28" ht="15.95" customHeight="1" x14ac:dyDescent="0.25"/>
    <row r="16" spans="2:28" ht="18" customHeight="1" x14ac:dyDescent="0.25">
      <c r="B16" s="166" t="s">
        <v>1322</v>
      </c>
      <c r="C16" s="148"/>
      <c r="D16" s="148"/>
      <c r="E16" s="148"/>
      <c r="F16" s="148"/>
      <c r="G16" s="148"/>
      <c r="H16" s="148"/>
      <c r="I16" s="148"/>
      <c r="K16" s="166" t="s">
        <v>1323</v>
      </c>
      <c r="L16" s="148"/>
      <c r="M16" s="148"/>
      <c r="N16" s="148"/>
      <c r="O16" s="148"/>
      <c r="P16" s="148"/>
      <c r="Q16" s="148"/>
      <c r="R16" s="148"/>
      <c r="T16" s="166" t="s">
        <v>1324</v>
      </c>
      <c r="U16" s="148"/>
      <c r="V16" s="148"/>
      <c r="W16" s="148"/>
      <c r="X16" s="148"/>
      <c r="Y16" s="148"/>
      <c r="Z16" s="148"/>
      <c r="AA16" s="148"/>
    </row>
    <row r="17" spans="2:27" ht="39.75" customHeight="1" x14ac:dyDescent="0.25">
      <c r="B17" s="164" t="s">
        <v>1326</v>
      </c>
      <c r="C17" s="148"/>
      <c r="D17" s="148"/>
      <c r="E17" s="148"/>
      <c r="F17" s="148"/>
      <c r="G17" s="148"/>
      <c r="H17" s="148"/>
      <c r="I17" s="148"/>
      <c r="K17" s="164" t="s">
        <v>1327</v>
      </c>
      <c r="L17" s="148"/>
      <c r="M17" s="148"/>
      <c r="N17" s="148"/>
      <c r="O17" s="148"/>
      <c r="P17" s="148"/>
      <c r="Q17" s="148"/>
      <c r="R17" s="148"/>
      <c r="T17" s="164" t="s">
        <v>1328</v>
      </c>
      <c r="U17" s="148"/>
      <c r="V17" s="148"/>
      <c r="W17" s="148"/>
      <c r="X17" s="148"/>
      <c r="Y17" s="148"/>
      <c r="Z17" s="148"/>
      <c r="AA17" s="148"/>
    </row>
    <row r="18" spans="2:27" ht="27.75" customHeight="1" x14ac:dyDescent="0.25">
      <c r="B18" s="170"/>
      <c r="C18" s="170"/>
      <c r="D18" s="170"/>
      <c r="E18" s="170"/>
      <c r="F18" s="170"/>
      <c r="G18" s="170"/>
      <c r="H18" s="170"/>
      <c r="I18" s="170"/>
    </row>
    <row r="19" spans="2:27" ht="18" customHeight="1" x14ac:dyDescent="0.25">
      <c r="B19" s="170"/>
      <c r="C19" s="170"/>
      <c r="D19" s="170"/>
      <c r="E19" s="170"/>
      <c r="F19" s="170"/>
      <c r="G19" s="170"/>
      <c r="H19" s="170"/>
      <c r="I19" s="170"/>
    </row>
    <row r="20" spans="2:27" x14ac:dyDescent="0.25">
      <c r="B20" s="170"/>
      <c r="C20" s="170"/>
      <c r="D20" s="170"/>
      <c r="E20" s="170"/>
      <c r="F20" s="170"/>
      <c r="G20" s="170"/>
      <c r="H20" s="170"/>
      <c r="I20" s="170"/>
    </row>
    <row r="21" spans="2:27" ht="18" customHeight="1" x14ac:dyDescent="0.25">
      <c r="B21" s="170"/>
      <c r="C21" s="170"/>
      <c r="D21" s="170"/>
      <c r="E21" s="170"/>
      <c r="F21" s="170"/>
      <c r="G21" s="170"/>
      <c r="H21" s="170"/>
      <c r="I21" s="170"/>
    </row>
    <row r="22" spans="2:27" ht="18" customHeight="1" x14ac:dyDescent="0.25">
      <c r="B22" s="170"/>
      <c r="C22" s="170"/>
      <c r="D22" s="170"/>
      <c r="E22" s="170"/>
      <c r="F22" s="170"/>
      <c r="G22" s="170"/>
      <c r="H22" s="170"/>
      <c r="I22" s="170"/>
    </row>
    <row r="23" spans="2:27" ht="18" customHeight="1" x14ac:dyDescent="0.25">
      <c r="B23" s="170"/>
      <c r="C23" s="170"/>
      <c r="D23" s="170"/>
      <c r="E23" s="170"/>
      <c r="F23" s="170"/>
      <c r="G23" s="170"/>
      <c r="H23" s="170"/>
      <c r="I23" s="170"/>
    </row>
    <row r="24" spans="2:27" ht="18" customHeight="1" x14ac:dyDescent="0.25">
      <c r="B24" s="170"/>
      <c r="C24" s="170"/>
      <c r="D24" s="170"/>
      <c r="E24" s="170"/>
      <c r="F24" s="170"/>
      <c r="G24" s="170"/>
      <c r="H24" s="170"/>
      <c r="I24" s="170"/>
    </row>
    <row r="25" spans="2:27" x14ac:dyDescent="0.25">
      <c r="B25" s="170"/>
      <c r="C25" s="170"/>
      <c r="D25" s="170"/>
      <c r="E25" s="170"/>
      <c r="F25" s="170"/>
      <c r="G25" s="170"/>
      <c r="H25" s="170"/>
      <c r="I25" s="170"/>
    </row>
    <row r="26" spans="2:27" ht="20.100000000000001" customHeight="1" x14ac:dyDescent="0.25">
      <c r="B26" s="170"/>
      <c r="C26" s="170"/>
      <c r="D26" s="170"/>
      <c r="E26" s="170"/>
      <c r="F26" s="170"/>
      <c r="G26" s="170"/>
      <c r="H26" s="170"/>
      <c r="I26" s="170"/>
    </row>
    <row r="27" spans="2:27" ht="20.100000000000001" customHeight="1" x14ac:dyDescent="0.25">
      <c r="B27" s="170"/>
      <c r="C27" s="170"/>
      <c r="D27" s="170"/>
      <c r="E27" s="170"/>
      <c r="F27" s="170"/>
      <c r="G27" s="170"/>
      <c r="H27" s="170"/>
      <c r="I27" s="170"/>
    </row>
    <row r="28" spans="2:27" ht="20.100000000000001" customHeight="1" x14ac:dyDescent="0.25">
      <c r="B28" s="170"/>
      <c r="C28" s="170"/>
      <c r="D28" s="170"/>
      <c r="E28" s="170"/>
      <c r="F28" s="170"/>
      <c r="G28" s="170"/>
      <c r="H28" s="170"/>
      <c r="I28" s="170"/>
    </row>
    <row r="29" spans="2:27" ht="20.100000000000001" customHeight="1" x14ac:dyDescent="0.25">
      <c r="B29" s="170"/>
      <c r="C29" s="170"/>
      <c r="D29" s="170"/>
      <c r="E29" s="170"/>
      <c r="F29" s="170"/>
      <c r="G29" s="170"/>
      <c r="H29" s="170"/>
      <c r="I29" s="170"/>
    </row>
    <row r="30" spans="2:27" ht="20.100000000000001" customHeight="1" x14ac:dyDescent="0.25">
      <c r="B30" s="170"/>
      <c r="C30" s="170"/>
      <c r="D30" s="170"/>
      <c r="E30" s="170"/>
      <c r="F30" s="170"/>
      <c r="G30" s="170"/>
      <c r="H30" s="170"/>
      <c r="I30" s="170"/>
    </row>
    <row r="31" spans="2:27" ht="20.100000000000001" customHeight="1" x14ac:dyDescent="0.25">
      <c r="B31" s="170"/>
      <c r="C31" s="170"/>
      <c r="D31" s="170"/>
      <c r="E31" s="170"/>
      <c r="F31" s="170"/>
      <c r="G31" s="170"/>
      <c r="H31" s="170"/>
      <c r="I31" s="170"/>
    </row>
    <row r="32" spans="2:27" ht="20.100000000000001" customHeight="1" x14ac:dyDescent="0.25">
      <c r="B32" s="201" t="s">
        <v>1329</v>
      </c>
      <c r="C32" s="148"/>
      <c r="D32" s="148"/>
      <c r="E32" s="148"/>
      <c r="F32" s="148"/>
      <c r="G32" s="148"/>
      <c r="H32" s="148"/>
      <c r="I32" s="148"/>
      <c r="K32" s="201" t="s">
        <v>1330</v>
      </c>
      <c r="L32" s="148"/>
      <c r="M32" s="148"/>
      <c r="N32" s="148"/>
      <c r="O32" s="148"/>
      <c r="P32" s="148"/>
      <c r="Q32" s="148"/>
      <c r="R32" s="148"/>
      <c r="T32" s="201" t="s">
        <v>1331</v>
      </c>
      <c r="U32" s="202"/>
      <c r="V32" s="202"/>
      <c r="W32" s="202"/>
      <c r="X32" s="202"/>
      <c r="Y32" s="202"/>
      <c r="Z32" s="202"/>
      <c r="AA32" s="202"/>
    </row>
    <row r="33" spans="2:27" ht="8.1" customHeight="1" x14ac:dyDescent="0.25"/>
    <row r="34" spans="2:27" ht="20.100000000000001" customHeight="1" x14ac:dyDescent="0.25">
      <c r="B34" s="166" t="s">
        <v>1339</v>
      </c>
      <c r="C34" s="148"/>
      <c r="D34" s="148"/>
      <c r="E34" s="148"/>
      <c r="F34" s="148"/>
      <c r="G34" s="148"/>
      <c r="H34" s="148"/>
      <c r="I34" s="148"/>
      <c r="K34" s="166" t="s">
        <v>1360</v>
      </c>
      <c r="L34" s="148"/>
      <c r="M34" s="148"/>
      <c r="N34" s="148"/>
      <c r="O34" s="148"/>
      <c r="P34" s="148"/>
      <c r="Q34" s="148"/>
      <c r="R34" s="148"/>
      <c r="T34" s="166" t="s">
        <v>1340</v>
      </c>
      <c r="U34" s="148"/>
      <c r="V34" s="148"/>
      <c r="W34" s="148"/>
      <c r="X34" s="148"/>
      <c r="Y34" s="148"/>
      <c r="Z34" s="148"/>
      <c r="AA34" s="148"/>
    </row>
    <row r="35" spans="2:27" ht="36.75" customHeight="1" x14ac:dyDescent="0.25">
      <c r="B35" s="164" t="s">
        <v>1341</v>
      </c>
      <c r="C35" s="148"/>
      <c r="D35" s="148"/>
      <c r="E35" s="148"/>
      <c r="F35" s="148"/>
      <c r="G35" s="148"/>
      <c r="H35" s="148"/>
      <c r="I35" s="148"/>
      <c r="K35" s="164" t="s">
        <v>1342</v>
      </c>
      <c r="L35" s="148"/>
      <c r="M35" s="148"/>
      <c r="N35" s="148"/>
      <c r="O35" s="148"/>
      <c r="P35" s="148"/>
      <c r="Q35" s="148"/>
      <c r="R35" s="148"/>
      <c r="T35" s="164" t="s">
        <v>1343</v>
      </c>
      <c r="U35" s="148"/>
      <c r="V35" s="148"/>
      <c r="W35" s="148"/>
      <c r="X35" s="148"/>
      <c r="Y35" s="148"/>
      <c r="Z35" s="148"/>
      <c r="AA35" s="148"/>
    </row>
    <row r="36" spans="2:27" ht="20.100000000000001" customHeight="1" x14ac:dyDescent="0.25"/>
    <row r="37" spans="2:27" ht="20.100000000000001" customHeight="1" x14ac:dyDescent="0.25"/>
    <row r="38" spans="2:27" ht="20.100000000000001" customHeight="1" x14ac:dyDescent="0.25"/>
    <row r="39" spans="2:27" ht="20.100000000000001" customHeight="1" x14ac:dyDescent="0.25"/>
    <row r="40" spans="2:27" ht="20.100000000000001" customHeight="1" x14ac:dyDescent="0.25"/>
    <row r="42" spans="2:27" ht="20.100000000000001" customHeight="1" x14ac:dyDescent="0.25"/>
    <row r="43" spans="2:27" ht="20.100000000000001" customHeight="1" x14ac:dyDescent="0.25"/>
    <row r="44" spans="2:27" ht="20.100000000000001" customHeight="1" x14ac:dyDescent="0.25"/>
    <row r="45" spans="2:27" ht="20.100000000000001" customHeight="1" x14ac:dyDescent="0.25"/>
    <row r="46" spans="2:27" ht="20.100000000000001" customHeight="1" x14ac:dyDescent="0.25"/>
    <row r="47" spans="2:27" ht="20.100000000000001" customHeight="1" x14ac:dyDescent="0.25"/>
    <row r="48" spans="2:27" ht="18" customHeight="1" x14ac:dyDescent="0.25"/>
    <row r="49" spans="2:28" ht="20.100000000000001" customHeight="1" x14ac:dyDescent="0.25"/>
    <row r="50" spans="2:28" x14ac:dyDescent="0.25">
      <c r="B50" s="201" t="s">
        <v>1345</v>
      </c>
      <c r="C50" s="148"/>
      <c r="D50" s="148"/>
      <c r="E50" s="148"/>
      <c r="F50" s="148"/>
      <c r="G50" s="148"/>
      <c r="H50" s="148"/>
      <c r="I50" s="148"/>
      <c r="K50" s="201" t="s">
        <v>1346</v>
      </c>
      <c r="L50" s="148"/>
      <c r="M50" s="148"/>
      <c r="N50" s="148"/>
      <c r="O50" s="148"/>
      <c r="P50" s="148"/>
      <c r="Q50" s="148"/>
      <c r="R50" s="148"/>
      <c r="T50" s="201" t="s">
        <v>1347</v>
      </c>
      <c r="U50" s="148"/>
      <c r="V50" s="148"/>
      <c r="W50" s="148"/>
      <c r="X50" s="148"/>
      <c r="Y50" s="148"/>
      <c r="Z50" s="148"/>
      <c r="AA50" s="148"/>
    </row>
    <row r="51" spans="2:28" ht="8.1" customHeight="1" x14ac:dyDescent="0.25"/>
    <row r="52" spans="2:28" x14ac:dyDescent="0.25">
      <c r="B52" s="172" t="s">
        <v>1356</v>
      </c>
      <c r="C52" s="172"/>
      <c r="D52" s="172"/>
      <c r="E52" s="172"/>
      <c r="F52" s="172"/>
      <c r="G52" s="172"/>
      <c r="H52" s="172"/>
      <c r="I52" s="172"/>
      <c r="J52" s="172"/>
      <c r="K52" s="172"/>
      <c r="L52" s="172"/>
      <c r="M52" s="172"/>
      <c r="N52" s="172"/>
      <c r="O52" s="172"/>
      <c r="P52" s="172"/>
      <c r="Q52" s="172"/>
      <c r="R52" s="172"/>
      <c r="S52" s="172"/>
      <c r="T52" s="172"/>
      <c r="U52" s="172"/>
      <c r="V52" s="172"/>
      <c r="W52" s="172"/>
      <c r="X52" s="172"/>
      <c r="Y52" s="172"/>
      <c r="Z52" s="172"/>
      <c r="AA52" s="172"/>
      <c r="AB52" s="172"/>
    </row>
    <row r="53" spans="2:28" x14ac:dyDescent="0.25">
      <c r="B53" s="172"/>
      <c r="C53" s="172"/>
      <c r="D53" s="172"/>
      <c r="E53" s="172"/>
      <c r="F53" s="172"/>
      <c r="G53" s="172"/>
      <c r="H53" s="172"/>
      <c r="I53" s="172"/>
      <c r="J53" s="172"/>
      <c r="K53" s="172"/>
      <c r="L53" s="172"/>
      <c r="M53" s="172"/>
      <c r="N53" s="172"/>
      <c r="O53" s="172"/>
      <c r="P53" s="172"/>
      <c r="Q53" s="172"/>
      <c r="R53" s="172"/>
      <c r="S53" s="172"/>
      <c r="T53" s="172"/>
      <c r="U53" s="172"/>
      <c r="V53" s="172"/>
      <c r="W53" s="172"/>
      <c r="X53" s="172"/>
      <c r="Y53" s="172"/>
      <c r="Z53" s="172"/>
      <c r="AA53" s="172"/>
      <c r="AB53" s="172"/>
    </row>
    <row r="55" spans="2:28" s="1" customFormat="1" x14ac:dyDescent="0.25">
      <c r="B55" s="1" t="s">
        <v>91</v>
      </c>
      <c r="C55" s="1" t="s">
        <v>1325</v>
      </c>
      <c r="E55" s="126" t="s">
        <v>206</v>
      </c>
      <c r="F55" s="1" t="s">
        <v>1332</v>
      </c>
      <c r="G55" s="1" t="s">
        <v>1333</v>
      </c>
      <c r="H55" s="1" t="s">
        <v>1334</v>
      </c>
      <c r="I55" s="1" t="s">
        <v>1335</v>
      </c>
      <c r="L55" s="1" t="s">
        <v>380</v>
      </c>
      <c r="N55" s="1" t="s">
        <v>862</v>
      </c>
      <c r="P55" s="1" t="s">
        <v>79</v>
      </c>
      <c r="Q55" s="1" t="s">
        <v>1236</v>
      </c>
      <c r="R55" s="1" t="s">
        <v>118</v>
      </c>
      <c r="T55" s="1" t="s">
        <v>921</v>
      </c>
      <c r="U55" s="1" t="s">
        <v>1344</v>
      </c>
      <c r="V55" s="125" t="s">
        <v>1279</v>
      </c>
      <c r="Y55" s="1" t="s">
        <v>1354</v>
      </c>
      <c r="AA55" s="1" t="s">
        <v>862</v>
      </c>
    </row>
    <row r="56" spans="2:28" s="1" customFormat="1" x14ac:dyDescent="0.25">
      <c r="B56" s="1" t="s">
        <v>233</v>
      </c>
      <c r="C56" s="1">
        <f>'Caso 1 (Resumen Ejecutivo)'!C5</f>
        <v>10</v>
      </c>
      <c r="E56" s="126" t="s">
        <v>1336</v>
      </c>
      <c r="F56" s="1">
        <f>AVERAGEIF('Caso 1 (Matriz de Clientes)'!$C$4:$C$53,"Persona Individual",'Caso 1 (Matriz de Clientes)'!$G$4:$G$53)</f>
        <v>1</v>
      </c>
      <c r="G56" s="127">
        <f>AVERAGEIF('Caso 1 (Matriz de Clientes)'!$C$4:$C$53,"Persona Individual",'Caso 1 (Matriz de Clientes)'!$H$4:$H$53)</f>
        <v>1.8181818181818181</v>
      </c>
      <c r="H56" s="127">
        <f>AVERAGEIF('Caso 1 (Matriz de Clientes)'!$C$4:$C$53,"Persona Individual",'Caso 1 (Matriz de Clientes)'!$I$4:$I$53)</f>
        <v>1.9090909090909092</v>
      </c>
      <c r="I56" s="128">
        <f>AVERAGEIF('Caso 1 (Matriz de Clientes)'!$C$4:$C$53,"Persona Individual",'Caso 1 (Matriz de Clientes)'!$J$4:$J$53)</f>
        <v>2</v>
      </c>
      <c r="L56" s="1" t="s">
        <v>404</v>
      </c>
      <c r="N56" s="1">
        <f>'Caso 2 (Resumen Ejecutivo)'!C13</f>
        <v>50</v>
      </c>
      <c r="P56" s="1" t="s">
        <v>81</v>
      </c>
      <c r="Q56" s="128">
        <f>'Caso 3 (Índice Exposición FT)'!H4</f>
        <v>65</v>
      </c>
      <c r="R56" s="129">
        <f>'Caso 3 (Resumen Ejecutivo)'!G7</f>
        <v>0.48837209302325579</v>
      </c>
      <c r="T56" s="1" t="s">
        <v>1348</v>
      </c>
      <c r="U56" s="1" cm="1">
        <f t="array" ref="U56">SUMPRODUCT((MID('Caso 2 (Transacciones)'!$D$4:$D$303,4,7)="01/2026")*('Caso 2 (Transacciones)'!$L$4:$L$303&lt;&gt;"Normal"))</f>
        <v>7</v>
      </c>
      <c r="V56" s="1" cm="1">
        <f t="array" ref="V56">SUMPRODUCT((MID('Caso 2 (Transacciones)'!$D$4:$D$303,4,7)="01/2026")*1)</f>
        <v>20</v>
      </c>
      <c r="Y56" s="1" t="s">
        <v>1355</v>
      </c>
      <c r="AA56" s="1">
        <f>'Caso 3 (Resumen Ejecutivo)'!B25</f>
        <v>23</v>
      </c>
    </row>
    <row r="57" spans="2:28" s="1" customFormat="1" x14ac:dyDescent="0.25">
      <c r="B57" s="1" t="s">
        <v>229</v>
      </c>
      <c r="C57" s="1">
        <f>'Caso 1 (Resumen Ejecutivo)'!C6</f>
        <v>18</v>
      </c>
      <c r="E57" s="126" t="s">
        <v>1337</v>
      </c>
      <c r="F57" s="128">
        <f>AVERAGEIF('Caso 1 (Matriz de Clientes)'!$C$4:$C$53,"Persona Jurídica",'Caso 1 (Matriz de Clientes)'!$G$4:$G$53)</f>
        <v>2</v>
      </c>
      <c r="G57" s="127">
        <f>AVERAGEIF('Caso 1 (Matriz de Clientes)'!$C$4:$C$53,"Persona Jurídica",'Caso 1 (Matriz de Clientes)'!$H$4:$H$53)</f>
        <v>2.4285714285714284</v>
      </c>
      <c r="H57" s="127">
        <f>AVERAGEIF('Caso 1 (Matriz de Clientes)'!$C$4:$C$53,"Persona Jurídica",'Caso 1 (Matriz de Clientes)'!$I$4:$I$53)</f>
        <v>2.2380952380952381</v>
      </c>
      <c r="I57" s="127">
        <f>AVERAGEIF('Caso 1 (Matriz de Clientes)'!$C$4:$C$53,"Persona Jurídica",'Caso 1 (Matriz de Clientes)'!$J$4:$J$53)</f>
        <v>1.9523809523809523</v>
      </c>
      <c r="L57" s="1" t="s">
        <v>395</v>
      </c>
      <c r="N57" s="1">
        <f>'Caso 2 (Resumen Ejecutivo)'!C16</f>
        <v>45</v>
      </c>
      <c r="P57" s="1" t="s">
        <v>82</v>
      </c>
      <c r="Q57" s="128">
        <f>'Caso 3 (Índice Exposición FT)'!H5</f>
        <v>82</v>
      </c>
      <c r="R57" s="129">
        <f>'Caso 3 (Resumen Ejecutivo)'!G5</f>
        <v>0.95</v>
      </c>
      <c r="T57" s="1" t="s">
        <v>1349</v>
      </c>
      <c r="U57" s="1" cm="1">
        <f t="array" ref="U57">SUMPRODUCT((MID('Caso 2 (Transacciones)'!$D$4:$D$303,4,7)="02/2026")*('Caso 2 (Transacciones)'!$L$4:$L$303&lt;&gt;"Normal"))</f>
        <v>8</v>
      </c>
      <c r="V57" s="1" cm="1">
        <f t="array" ref="V57">SUMPRODUCT((MID('Caso 2 (Transacciones)'!$D$4:$D$303,4,7)="02/2026")*1)</f>
        <v>19</v>
      </c>
      <c r="Y57" s="1" t="s">
        <v>108</v>
      </c>
      <c r="AA57" s="1">
        <f>'Caso 3 (Resumen Ejecutivo)'!B26</f>
        <v>17</v>
      </c>
    </row>
    <row r="58" spans="2:28" s="1" customFormat="1" x14ac:dyDescent="0.25">
      <c r="B58" s="1" t="s">
        <v>223</v>
      </c>
      <c r="C58" s="1">
        <f>'Caso 1 (Resumen Ejecutivo)'!C7</f>
        <v>15</v>
      </c>
      <c r="E58" s="126" t="s">
        <v>195</v>
      </c>
      <c r="F58" s="1">
        <f>AVERAGEIF('Caso 1 (Matriz de Clientes)'!$C$4:$C$53,"No Residente",'Caso 1 (Matriz de Clientes)'!$G$4:$G$53)</f>
        <v>3</v>
      </c>
      <c r="G58" s="127">
        <f>AVERAGEIF('Caso 1 (Matriz de Clientes)'!$C$4:$C$53,"No Residente",'Caso 1 (Matriz de Clientes)'!$H$4:$H$53)</f>
        <v>3.5</v>
      </c>
      <c r="H58" s="128">
        <f>AVERAGEIF('Caso 1 (Matriz de Clientes)'!$C$4:$C$53,"No Residente",'Caso 1 (Matriz de Clientes)'!$I$4:$I$53)</f>
        <v>3</v>
      </c>
      <c r="I58" s="127">
        <f>AVERAGEIF('Caso 1 (Matriz de Clientes)'!$C$4:$C$53,"No Residente",'Caso 1 (Matriz de Clientes)'!$J$4:$J$53)</f>
        <v>2.625</v>
      </c>
      <c r="L58" s="1" t="s">
        <v>390</v>
      </c>
      <c r="N58" s="1">
        <f>'Caso 2 (Resumen Ejecutivo)'!C14</f>
        <v>18</v>
      </c>
      <c r="P58" s="1" t="s">
        <v>84</v>
      </c>
      <c r="Q58" s="128">
        <f>'Caso 3 (Índice Exposición FT)'!H7</f>
        <v>71</v>
      </c>
      <c r="R58" s="129">
        <f>'Caso 3 (Resumen Ejecutivo)'!G6</f>
        <v>0.72222222222222221</v>
      </c>
      <c r="T58" s="1" t="s">
        <v>1350</v>
      </c>
      <c r="U58" s="1" cm="1">
        <f t="array" ref="U58">SUMPRODUCT((MID('Caso 2 (Transacciones)'!$D$4:$D$303,4,7)="03/2026")*('Caso 2 (Transacciones)'!$L$4:$L$303&lt;&gt;"Normal"))</f>
        <v>11</v>
      </c>
      <c r="V58" s="1" cm="1">
        <f t="array" ref="V58">SUMPRODUCT((MID('Caso 2 (Transacciones)'!$D$4:$D$303,4,7)="03/2026")*1)</f>
        <v>22</v>
      </c>
      <c r="Y58" s="1" t="s">
        <v>1357</v>
      </c>
      <c r="AA58" s="1">
        <f>'Caso 3 (Resumen Ejecutivo)'!B24</f>
        <v>10</v>
      </c>
    </row>
    <row r="59" spans="2:28" s="1" customFormat="1" x14ac:dyDescent="0.25">
      <c r="B59" s="1" t="s">
        <v>217</v>
      </c>
      <c r="C59" s="1">
        <f>'Caso 1 (Resumen Ejecutivo)'!C8</f>
        <v>7</v>
      </c>
      <c r="E59" s="126" t="s">
        <v>1338</v>
      </c>
      <c r="F59" s="1">
        <f>AVERAGEIF('Caso 1 (Matriz de Clientes)'!$C$4:$C$53,"Persona Individual PEP",'Caso 1 (Matriz de Clientes)'!$G$4:$G$53)</f>
        <v>4</v>
      </c>
      <c r="G59" s="127">
        <f>AVERAGEIF('Caso 1 (Matriz de Clientes)'!$C$4:$C$53,"Persona Individual PEP",'Caso 1 (Matriz de Clientes)'!$H$4:$H$53)</f>
        <v>2.2000000000000002</v>
      </c>
      <c r="H59" s="127">
        <f>AVERAGEIF('Caso 1 (Matriz de Clientes)'!$C$4:$C$53,"Persona Individual PEP",'Caso 1 (Matriz de Clientes)'!$I$4:$I$53)</f>
        <v>2.4</v>
      </c>
      <c r="I59" s="127">
        <f>AVERAGEIF('Caso 1 (Matriz de Clientes)'!$C$4:$C$53,"Persona Individual PEP",'Caso 1 (Matriz de Clientes)'!$J$4:$J$53)</f>
        <v>2.2999999999999998</v>
      </c>
      <c r="L59" s="1" t="s">
        <v>384</v>
      </c>
      <c r="N59" s="1">
        <f>'Caso 2 (Resumen Ejecutivo)'!C15</f>
        <v>7</v>
      </c>
      <c r="P59" s="1" t="s">
        <v>83</v>
      </c>
      <c r="Q59" s="128">
        <f>'Caso 3 (Índice Exposición FT)'!H6</f>
        <v>39.5</v>
      </c>
      <c r="R59" s="129">
        <f>'Caso 3 (Resumen Ejecutivo)'!G8</f>
        <v>0.35294117647058826</v>
      </c>
      <c r="T59" s="1" t="s">
        <v>1351</v>
      </c>
      <c r="U59" s="1" cm="1">
        <f t="array" ref="U59">SUMPRODUCT((MID('Caso 2 (Transacciones)'!$D$4:$D$303,4,7)="04/2026")*('Caso 2 (Transacciones)'!$L$4:$L$303&lt;&gt;"Normal"))</f>
        <v>8</v>
      </c>
      <c r="V59" s="1" cm="1">
        <f t="array" ref="V59">SUMPRODUCT((MID('Caso 2 (Transacciones)'!$D$4:$D$303,4,7)="04/2026")*1)</f>
        <v>20</v>
      </c>
      <c r="Y59" s="1" t="s">
        <v>114</v>
      </c>
      <c r="AA59" s="1">
        <f>'Caso 3 (Resumen Ejecutivo)'!B31</f>
        <v>3</v>
      </c>
    </row>
    <row r="60" spans="2:28" s="1" customFormat="1" x14ac:dyDescent="0.25">
      <c r="L60" s="1" t="s">
        <v>399</v>
      </c>
      <c r="N60" s="1">
        <f>'Caso 2 (Resumen Ejecutivo)'!C17</f>
        <v>2</v>
      </c>
      <c r="T60" s="1" t="s">
        <v>1352</v>
      </c>
      <c r="U60" s="1" cm="1">
        <f t="array" ref="U60">SUMPRODUCT((MID('Caso 2 (Transacciones)'!$D$4:$D$303,4,7)="05/2026")*('Caso 2 (Transacciones)'!$L$4:$L$303&lt;&gt;"Normal"))</f>
        <v>14</v>
      </c>
      <c r="V60" s="1" cm="1">
        <f t="array" ref="V60">SUMPRODUCT((MID('Caso 2 (Transacciones)'!$D$4:$D$303,4,7)="05/2026")*1)</f>
        <v>21</v>
      </c>
      <c r="Y60" s="1" t="s">
        <v>1358</v>
      </c>
      <c r="AA60" s="1">
        <f>'Caso 3 (Resumen Ejecutivo)'!B27</f>
        <v>3</v>
      </c>
    </row>
    <row r="61" spans="2:28" s="1" customFormat="1" x14ac:dyDescent="0.25">
      <c r="T61" s="1" t="s">
        <v>1353</v>
      </c>
      <c r="U61" s="1" cm="1">
        <f t="array" ref="U61">SUMPRODUCT((MID('Caso 2 (Transacciones)'!$D$4:$D$303,4,7)="06/2026")*('Caso 2 (Transacciones)'!$L$4:$L$303&lt;&gt;"Normal"))</f>
        <v>14</v>
      </c>
      <c r="V61" s="1" cm="1">
        <f t="array" ref="V61">SUMPRODUCT((MID('Caso 2 (Transacciones)'!$D$4:$D$303,4,7)="06/2026")*1)</f>
        <v>28</v>
      </c>
      <c r="Y61" s="1" t="s">
        <v>1359</v>
      </c>
      <c r="AA61" s="1">
        <f>'Caso 3 (Resumen Ejecutivo)'!B29</f>
        <v>1</v>
      </c>
    </row>
  </sheetData>
  <mergeCells count="43">
    <mergeCell ref="B5:I5"/>
    <mergeCell ref="K5:R5"/>
    <mergeCell ref="T5:AA5"/>
    <mergeCell ref="B6:I6"/>
    <mergeCell ref="K6:R6"/>
    <mergeCell ref="T6:AA6"/>
    <mergeCell ref="B7:I8"/>
    <mergeCell ref="K7:R8"/>
    <mergeCell ref="T7:AA8"/>
    <mergeCell ref="B9:I9"/>
    <mergeCell ref="K9:R9"/>
    <mergeCell ref="T9:AA9"/>
    <mergeCell ref="B14:I14"/>
    <mergeCell ref="K14:R14"/>
    <mergeCell ref="T14:AA14"/>
    <mergeCell ref="B11:I11"/>
    <mergeCell ref="K11:R11"/>
    <mergeCell ref="T11:AA11"/>
    <mergeCell ref="B12:I13"/>
    <mergeCell ref="K12:R13"/>
    <mergeCell ref="T12:AA13"/>
    <mergeCell ref="B16:I16"/>
    <mergeCell ref="K16:R16"/>
    <mergeCell ref="T16:AA16"/>
    <mergeCell ref="B17:I17"/>
    <mergeCell ref="K17:R17"/>
    <mergeCell ref="T17:AA17"/>
    <mergeCell ref="B3:AA3"/>
    <mergeCell ref="B2:AB2"/>
    <mergeCell ref="B18:I31"/>
    <mergeCell ref="B52:AB53"/>
    <mergeCell ref="B35:I35"/>
    <mergeCell ref="K35:R35"/>
    <mergeCell ref="T35:AA35"/>
    <mergeCell ref="B50:I50"/>
    <mergeCell ref="K50:R50"/>
    <mergeCell ref="T50:AA50"/>
    <mergeCell ref="B32:I32"/>
    <mergeCell ref="K32:R32"/>
    <mergeCell ref="T32:AA32"/>
    <mergeCell ref="B34:I34"/>
    <mergeCell ref="K34:R34"/>
    <mergeCell ref="T34:AA34"/>
  </mergeCells>
  <conditionalFormatting sqref="K7">
    <cfRule type="expression" dxfId="25" priority="59" stopIfTrue="1">
      <formula>K7&gt;0.5</formula>
    </cfRule>
    <cfRule type="expression" dxfId="24" priority="60" stopIfTrue="1">
      <formula>K7&gt;0.3</formula>
    </cfRule>
    <cfRule type="expression" dxfId="23" priority="61" stopIfTrue="1">
      <formula>K7&gt;0.1</formula>
    </cfRule>
  </conditionalFormatting>
  <conditionalFormatting sqref="T7">
    <cfRule type="cellIs" dxfId="22" priority="62" stopIfTrue="1" operator="greaterThanOrEqual">
      <formula>75</formula>
    </cfRule>
    <cfRule type="cellIs" dxfId="21" priority="63" stopIfTrue="1" operator="greaterThanOrEqual">
      <formula>50</formula>
    </cfRule>
    <cfRule type="cellIs" dxfId="20" priority="64" stopIfTrue="1" operator="greaterThanOrEqual">
      <formula>25</formula>
    </cfRule>
  </conditionalFormatting>
  <conditionalFormatting sqref="C56:C59">
    <cfRule type="expression" dxfId="19" priority="65" stopIfTrue="1">
      <formula>$B56="BAJO"</formula>
    </cfRule>
    <cfRule type="expression" dxfId="18" priority="66" stopIfTrue="1">
      <formula>$B56="MEDIO"</formula>
    </cfRule>
    <cfRule type="expression" dxfId="17" priority="67" stopIfTrue="1">
      <formula>$B56="ALTO"</formula>
    </cfRule>
    <cfRule type="expression" dxfId="16" priority="68" stopIfTrue="1">
      <formula>$B56="CRÍTICO"</formula>
    </cfRule>
  </conditionalFormatting>
  <conditionalFormatting sqref="Q56:R59">
    <cfRule type="expression" dxfId="15" priority="69" stopIfTrue="1">
      <formula>$V56&gt;=75</formula>
    </cfRule>
    <cfRule type="expression" dxfId="14" priority="70" stopIfTrue="1">
      <formula>$V56&gt;=50</formula>
    </cfRule>
    <cfRule type="expression" dxfId="13" priority="71" stopIfTrue="1">
      <formula>$V56&gt;=25</formula>
    </cfRule>
    <cfRule type="expression" dxfId="12" priority="72" stopIfTrue="1">
      <formula>$V56&lt;25</formula>
    </cfRule>
  </conditionalFormatting>
  <conditionalFormatting sqref="B12">
    <cfRule type="cellIs" dxfId="11" priority="73" stopIfTrue="1" operator="greaterThanOrEqual">
      <formula>3</formula>
    </cfRule>
    <cfRule type="cellIs" dxfId="10" priority="74" stopIfTrue="1" operator="greaterThanOrEqual">
      <formula>2.5</formula>
    </cfRule>
    <cfRule type="cellIs" dxfId="9" priority="75" stopIfTrue="1" operator="greaterThanOrEqual">
      <formula>2</formula>
    </cfRule>
    <cfRule type="cellIs" dxfId="8" priority="76" stopIfTrue="1" operator="lessThan">
      <formula>2</formula>
    </cfRule>
  </conditionalFormatting>
  <conditionalFormatting sqref="T12">
    <cfRule type="cellIs" dxfId="7" priority="80" stopIfTrue="1" operator="greaterThanOrEqual">
      <formula>0.5</formula>
    </cfRule>
    <cfRule type="cellIs" dxfId="6" priority="81" stopIfTrue="1" operator="greaterThanOrEqual">
      <formula>0.3</formula>
    </cfRule>
    <cfRule type="cellIs" dxfId="5" priority="82" stopIfTrue="1" operator="greaterThanOrEqual">
      <formula>0.1</formula>
    </cfRule>
    <cfRule type="cellIs" dxfId="4" priority="83" stopIfTrue="1" operator="lessThan">
      <formula>0.1</formula>
    </cfRule>
  </conditionalFormatting>
  <pageMargins left="0.75" right="0.75" top="1" bottom="1" header="0.5" footer="0.5"/>
  <drawing r:id="rId1"/>
  <extLst>
    <ext xmlns:x14="http://schemas.microsoft.com/office/spreadsheetml/2009/9/main" uri="{78C0D931-6437-407d-A8EE-F0AAD7539E65}">
      <x14:conditionalFormattings>
        <x14:conditionalFormatting xmlns:xm="http://schemas.microsoft.com/office/excel/2006/main">
          <x14:cfRule type="expression" priority="58" stopIfTrue="1" id="{78E6E361-4438-4CE1-AA41-54A20D562D56}">
            <xm:f>'Caso 1 (Resumen Ejecutivo)'!C8&gt;0</xm:f>
            <x14:dxf>
              <font>
                <color rgb="FF9C0006"/>
              </font>
              <fill>
                <patternFill>
                  <bgColor rgb="FFFFC7CE"/>
                </patternFill>
              </fill>
            </x14:dxf>
          </x14:cfRule>
          <xm:sqref>B7</xm:sqref>
        </x14:conditionalFormatting>
        <x14:conditionalFormatting xmlns:xm="http://schemas.microsoft.com/office/excel/2006/main">
          <x14:cfRule type="expression" priority="77" stopIfTrue="1" id="{50404842-8D14-4EEF-89CD-F4B03901BEFB}">
            <xm:f>'Caso 2 (Resumen Ejecutivo)'!C9/'Caso 2 (Socios)'!A1&gt;=0.5</xm:f>
            <x14:dxf>
              <font>
                <color rgb="FF9C0006"/>
              </font>
              <fill>
                <patternFill>
                  <bgColor rgb="FFFFC7CE"/>
                </patternFill>
              </fill>
            </x14:dxf>
          </x14:cfRule>
          <x14:cfRule type="expression" priority="78" stopIfTrue="1" id="{BFE6917B-75D4-41F1-A935-EA7E38FBD2E1}">
            <xm:f>'Caso 2 (Resumen Ejecutivo)'!C9/'Caso 2 (Socios)'!A1&gt;=0.3</xm:f>
            <x14:dxf>
              <font>
                <color rgb="FF974706"/>
              </font>
              <fill>
                <patternFill>
                  <bgColor rgb="FFFDDCB5"/>
                </patternFill>
              </fill>
            </x14:dxf>
          </x14:cfRule>
          <x14:cfRule type="expression" priority="79" stopIfTrue="1" id="{2E9052AF-85A8-41F1-ADF7-96A4A01D95AB}">
            <xm:f>'Caso 2 (Resumen Ejecutivo)'!C9/'Caso 2 (Socios)'!A1&gt;=0.1</xm:f>
            <x14:dxf>
              <font>
                <color rgb="FF7D6608"/>
              </font>
              <fill>
                <patternFill>
                  <bgColor rgb="FFFFEB9C"/>
                </patternFill>
              </fill>
            </x14:dxf>
          </x14:cfRule>
          <xm:sqref>K12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5</vt:i4>
      </vt:variant>
    </vt:vector>
  </HeadingPairs>
  <TitlesOfParts>
    <vt:vector size="24" baseType="lpstr">
      <vt:lpstr>Caso 1 (Marco Normativo)</vt:lpstr>
      <vt:lpstr>Caso 1 (Parámetros)</vt:lpstr>
      <vt:lpstr>Caso 1 (Umbrales y KYC)</vt:lpstr>
      <vt:lpstr>Caso 1 (Matriz de Clientes)</vt:lpstr>
      <vt:lpstr>Caso 1 (Resumen Ejecutivo)</vt:lpstr>
      <vt:lpstr>Caso 2 (Marco Normativo)</vt:lpstr>
      <vt:lpstr>Caso 2 (Parámetros)</vt:lpstr>
      <vt:lpstr>Caso 2 (Socios)</vt:lpstr>
      <vt:lpstr>Caso 2 (Transacciones)</vt:lpstr>
      <vt:lpstr>Caso 2 (ROS)</vt:lpstr>
      <vt:lpstr>Caso 2 (Resumen Ejecutivo)</vt:lpstr>
      <vt:lpstr>Caso 3 (Marco Normativo)</vt:lpstr>
      <vt:lpstr>Caso 3 (Datos Históricos)</vt:lpstr>
      <vt:lpstr>Caso 3 (Parámetros)</vt:lpstr>
      <vt:lpstr>Caso 3 (Transacciones)</vt:lpstr>
      <vt:lpstr>Caso 3 (Índice Exposición FT)</vt:lpstr>
      <vt:lpstr>Caso 3 (Medidas de Mitigación)</vt:lpstr>
      <vt:lpstr>Caso 3 (Resumen Ejecutivo)</vt:lpstr>
      <vt:lpstr>Dashboard</vt:lpstr>
      <vt:lpstr>Antiguedad</vt:lpstr>
      <vt:lpstr>CanalAcceso</vt:lpstr>
      <vt:lpstr>NivelRiesgo</vt:lpstr>
      <vt:lpstr>TipoCliente</vt:lpstr>
      <vt:lpstr>ZonaGeo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Ramos</dc:creator>
  <cp:lastModifiedBy>Daniel Ramos</cp:lastModifiedBy>
  <dcterms:created xsi:type="dcterms:W3CDTF">2026-06-03T00:10:22Z</dcterms:created>
  <dcterms:modified xsi:type="dcterms:W3CDTF">2026-06-08T03:30:31Z</dcterms:modified>
</cp:coreProperties>
</file>